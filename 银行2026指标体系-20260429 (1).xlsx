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wqfo\Downloads\"/>
    </mc:Choice>
  </mc:AlternateContent>
  <bookViews>
    <workbookView windowWidth="20752" windowHeight="9555" firstSheet="6" activeTab="8"/>
  </bookViews>
  <sheets>
    <sheet name="00-资产负债简表(20个)" sheetId="2" r:id="rId1"/>
    <sheet name="00-损益表简表(14个)" sheetId="3" r:id="rId2"/>
    <sheet name="00-关键监测指标（21个）" sheetId="4" r:id="rId3"/>
    <sheet name="01-收入结构（21个）" sheetId="5" r:id="rId4"/>
    <sheet name="02-成本结构（18个）" sheetId="6" r:id="rId5"/>
    <sheet name="03-存贷结构(30个)" sheetId="7" r:id="rId6"/>
    <sheet name="04-利率结构(15个)" sheetId="8" r:id="rId7"/>
    <sheet name="05-客群结构(14个)" sheetId="9" r:id="rId8"/>
    <sheet name="06-风险及资本情况(15个)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tc={203927C5-91A7-4343-AADC-D348AC77D9EE}</author>
  </authors>
  <commentList>
    <comment ref="D34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和票据贴现的定义以及计算公式是同一个</t>
        </r>
      </text>
    </comment>
  </commentList>
</comments>
</file>

<file path=xl/sharedStrings.xml><?xml version="1.0" encoding="utf-8"?>
<sst xmlns="http://schemas.openxmlformats.org/spreadsheetml/2006/main" count="703" uniqueCount="264">
  <si>
    <t>资产负债简表</t>
  </si>
  <si>
    <t>序号</t>
  </si>
  <si>
    <t>指标名称</t>
  </si>
  <si>
    <t>单位</t>
  </si>
  <si>
    <t>去年末</t>
  </si>
  <si>
    <t>截止本月末</t>
  </si>
  <si>
    <t>实际</t>
  </si>
  <si>
    <t>同比(%)</t>
  </si>
  <si>
    <t>较年初(%)</t>
  </si>
  <si>
    <t>总资产</t>
  </si>
  <si>
    <t>亿元</t>
  </si>
  <si>
    <t>贷款</t>
  </si>
  <si>
    <t>普通贷款</t>
  </si>
  <si>
    <t>福费廷</t>
  </si>
  <si>
    <t>票据贴现</t>
  </si>
  <si>
    <t>投资类资产</t>
  </si>
  <si>
    <t>债券投资</t>
  </si>
  <si>
    <t>同业投资</t>
  </si>
  <si>
    <t>信托基金投资</t>
  </si>
  <si>
    <t>其他投资</t>
  </si>
  <si>
    <t>存拆放同业</t>
  </si>
  <si>
    <t>买入返售</t>
  </si>
  <si>
    <t>存放央行</t>
  </si>
  <si>
    <t>总负债</t>
  </si>
  <si>
    <t>存款</t>
  </si>
  <si>
    <t>应付债券</t>
  </si>
  <si>
    <t>同业存拆放</t>
  </si>
  <si>
    <t>卖出回购</t>
  </si>
  <si>
    <t>向央行借款</t>
  </si>
  <si>
    <t>所有者权益</t>
  </si>
  <si>
    <t>损益表简表</t>
  </si>
  <si>
    <t>★表示考核指标</t>
  </si>
  <si>
    <t>是否考核
指标</t>
  </si>
  <si>
    <t>当月值</t>
  </si>
  <si>
    <t>全年预算</t>
  </si>
  <si>
    <t>预算达成率</t>
  </si>
  <si>
    <t>环比(%)</t>
  </si>
  <si>
    <t>营业收入</t>
  </si>
  <si>
    <t>★</t>
  </si>
  <si>
    <t>利息净收入</t>
  </si>
  <si>
    <t>非息净收入</t>
  </si>
  <si>
    <t>其中：手续费及佣金净收入</t>
  </si>
  <si>
    <t>其他非息收入</t>
  </si>
  <si>
    <t>投资收益</t>
  </si>
  <si>
    <t>公允价值变动损益</t>
  </si>
  <si>
    <t>业务及管理费</t>
  </si>
  <si>
    <t>税金及附加</t>
  </si>
  <si>
    <t>拨备前利润</t>
  </si>
  <si>
    <t>信用减值损失</t>
  </si>
  <si>
    <t>利润总额</t>
  </si>
  <si>
    <t>所得税</t>
  </si>
  <si>
    <t>净利润</t>
  </si>
  <si>
    <t>关键监测指标</t>
  </si>
  <si>
    <t>指标分类</t>
  </si>
  <si>
    <t>监测指标信息</t>
  </si>
  <si>
    <t>截止本季末</t>
  </si>
  <si>
    <t>监管要求</t>
  </si>
  <si>
    <t>流动性风险</t>
  </si>
  <si>
    <t>流动性覆盖率</t>
  </si>
  <si>
    <t>%</t>
  </si>
  <si>
    <t>≥100%</t>
  </si>
  <si>
    <t>净稳定资金比例</t>
  </si>
  <si>
    <t>流动性缺口率（90天）</t>
  </si>
  <si>
    <t>≥-10%</t>
  </si>
  <si>
    <t>核心负债比例</t>
  </si>
  <si>
    <t>≥60%</t>
  </si>
  <si>
    <t>信用风险</t>
  </si>
  <si>
    <t>拨备覆盖率</t>
  </si>
  <si>
    <t>≥150%</t>
  </si>
  <si>
    <t>贷款拨备率</t>
  </si>
  <si>
    <t>≥2.5%</t>
  </si>
  <si>
    <t>盈利性</t>
  </si>
  <si>
    <t>资产利润率</t>
  </si>
  <si>
    <t>资本利润率</t>
  </si>
  <si>
    <t>风险资产利润率</t>
  </si>
  <si>
    <t>成本收入比</t>
  </si>
  <si>
    <t>资本充足性</t>
  </si>
  <si>
    <t>资本净额</t>
  </si>
  <si>
    <t>资本充足率</t>
  </si>
  <si>
    <t>≥10.5%</t>
  </si>
  <si>
    <t>一级资本净额</t>
  </si>
  <si>
    <t>一级资本充足率</t>
  </si>
  <si>
    <t>≥8.5%</t>
  </si>
  <si>
    <t>核心一级资本净额</t>
  </si>
  <si>
    <t>核心一级资本充足率</t>
  </si>
  <si>
    <t>≥7.5%</t>
  </si>
  <si>
    <t>杠杆率</t>
  </si>
  <si>
    <t>≥4%</t>
  </si>
  <si>
    <t>风险加权资产</t>
  </si>
  <si>
    <t>集中度指标</t>
  </si>
  <si>
    <t>房地产贷款集中度</t>
  </si>
  <si>
    <t>非同业集团客户集中度</t>
  </si>
  <si>
    <t>非同业单一客户集中度</t>
  </si>
  <si>
    <t>华润银行202x年战略执行跟踪指标体系</t>
  </si>
  <si>
    <t>指标分项</t>
  </si>
  <si>
    <t>收入结构</t>
  </si>
  <si>
    <t>条线营收</t>
  </si>
  <si>
    <t>全行营收</t>
  </si>
  <si>
    <t>公司条线考核营收</t>
  </si>
  <si>
    <t>其中：公司条线-存款营收</t>
  </si>
  <si>
    <t>公司条线-贷款营收</t>
  </si>
  <si>
    <t>零售条线考核营收</t>
  </si>
  <si>
    <t>其中：零售条线-存款营收</t>
  </si>
  <si>
    <t>零售条线-贷款营收</t>
  </si>
  <si>
    <t>金融市场条线考核营收</t>
  </si>
  <si>
    <t>司库营收</t>
  </si>
  <si>
    <t>条线利息净收入</t>
  </si>
  <si>
    <t>全行利息净收入</t>
  </si>
  <si>
    <t>公司条线利息净收入</t>
  </si>
  <si>
    <t>零售条线利息净收入</t>
  </si>
  <si>
    <t>条线非息净收入</t>
  </si>
  <si>
    <t>全行非息收入</t>
  </si>
  <si>
    <t>其中：全行手续费及佣金净收入</t>
  </si>
  <si>
    <t>实际/全年预算*%</t>
  </si>
  <si>
    <t>公司条线非息收入</t>
  </si>
  <si>
    <t>其中：公司条线手续费及佣金净收入</t>
  </si>
  <si>
    <t>零售条线非息收入</t>
  </si>
  <si>
    <t>其中：零售条线手续费及佣金净收入</t>
  </si>
  <si>
    <t>全行投资收益</t>
  </si>
  <si>
    <t>其中：金融市场投资收益</t>
  </si>
  <si>
    <t>其他收入</t>
  </si>
  <si>
    <t>成本结构</t>
  </si>
  <si>
    <t>公司条线成本</t>
  </si>
  <si>
    <t>公司条线成本合计</t>
  </si>
  <si>
    <t>其中：公司条线-运营成本</t>
  </si>
  <si>
    <t>公司条线-风险成本</t>
  </si>
  <si>
    <t>公司条线-资本成本</t>
  </si>
  <si>
    <t>公司条线-EVA</t>
  </si>
  <si>
    <t>公司条线-RAROC</t>
  </si>
  <si>
    <t>零售条线成本</t>
  </si>
  <si>
    <t>零售条线成本合计</t>
  </si>
  <si>
    <t>其中：零售条线-运营成本</t>
  </si>
  <si>
    <t>零售条线-风险成本</t>
  </si>
  <si>
    <t>零售条线-资本成本</t>
  </si>
  <si>
    <t>零售条线-EVA</t>
  </si>
  <si>
    <t>零售条线-RAROC</t>
  </si>
  <si>
    <t>金融市场条线成本</t>
  </si>
  <si>
    <t>金融市场条线成本合计</t>
  </si>
  <si>
    <t>其中：金融市场-运营成本</t>
  </si>
  <si>
    <t>金融市场-风险成本</t>
  </si>
  <si>
    <t>金融市场-资本成本</t>
  </si>
  <si>
    <t>金融市场-EVA</t>
  </si>
  <si>
    <t>金融市场-RAROC</t>
  </si>
  <si>
    <t>存贷结构</t>
  </si>
  <si>
    <t>存款余额</t>
  </si>
  <si>
    <t>存款余额（全行）</t>
  </si>
  <si>
    <t>公司低成本存款余额</t>
  </si>
  <si>
    <t>公司定期存款余额</t>
  </si>
  <si>
    <t>个人低成本存款余额</t>
  </si>
  <si>
    <t>个人定期存款余额</t>
  </si>
  <si>
    <t xml:space="preserve">AUM </t>
  </si>
  <si>
    <t>个人AUM月日均</t>
  </si>
  <si>
    <t>其中：个人非存AUM月日均</t>
  </si>
  <si>
    <t xml:space="preserve">★、⚪️ </t>
  </si>
  <si>
    <t>代发客户AUM月日均</t>
  </si>
  <si>
    <t>存款年日均</t>
  </si>
  <si>
    <t>存款年日均（全行）</t>
  </si>
  <si>
    <t>其中：低成本存款年日均</t>
  </si>
  <si>
    <t>低成本存款占比</t>
  </si>
  <si>
    <t>⚪️</t>
  </si>
  <si>
    <t>其中：低成本存款年日均/存款年日均（全行）</t>
  </si>
  <si>
    <t>产融协同低成本存款年日均余额</t>
  </si>
  <si>
    <t>公司存款年日均</t>
  </si>
  <si>
    <t>公司低成本存款年日均</t>
  </si>
  <si>
    <t>个人存款年日均</t>
  </si>
  <si>
    <t>个人低成本存款年日均</t>
  </si>
  <si>
    <t>贷款余额</t>
  </si>
  <si>
    <t>公司-贷款余额</t>
  </si>
  <si>
    <t>公司-房地产贷款余额</t>
  </si>
  <si>
    <t>公司-贸易融资</t>
  </si>
  <si>
    <t>公司-中小企业贷款余额</t>
  </si>
  <si>
    <t>公司-科技企业客群净增余额</t>
  </si>
  <si>
    <t>★、⚪️</t>
  </si>
  <si>
    <t>绿色金融余额</t>
  </si>
  <si>
    <t>产业金融余额</t>
  </si>
  <si>
    <t>删除该指标</t>
  </si>
  <si>
    <t>个人-贷款余额</t>
  </si>
  <si>
    <t>个人抵押贷余额</t>
  </si>
  <si>
    <t>个人按揭贷余额</t>
  </si>
  <si>
    <t>个人信用贷余额</t>
  </si>
  <si>
    <t>其中：润薪贷、AUM贷、财富贷、车位贷</t>
  </si>
  <si>
    <t>个人平台贷余额</t>
  </si>
  <si>
    <t>贴现余额</t>
  </si>
  <si>
    <t>指标口径</t>
  </si>
  <si>
    <t>指标定义</t>
  </si>
  <si>
    <t>指标计算公式</t>
  </si>
  <si>
    <t>数据范围（含XXX,不含XXX）</t>
  </si>
  <si>
    <t>条线</t>
  </si>
  <si>
    <t>备注</t>
  </si>
  <si>
    <t>同比(ppt)</t>
  </si>
  <si>
    <t>较年初(ppt)</t>
  </si>
  <si>
    <t>时间类型</t>
  </si>
  <si>
    <t>较年初适用性</t>
  </si>
  <si>
    <t>利率结构</t>
  </si>
  <si>
    <t>资产</t>
  </si>
  <si>
    <t>贷款对客收益率</t>
  </si>
  <si>
    <t>财务</t>
  </si>
  <si>
    <t>时点值</t>
  </si>
  <si>
    <t>需要</t>
  </si>
  <si>
    <t>贷款对客收益率-对公</t>
  </si>
  <si>
    <t>贷款对客收益率-个人</t>
  </si>
  <si>
    <t>贷款对客收益率-贴现</t>
  </si>
  <si>
    <t>债券投资收益率</t>
  </si>
  <si>
    <t>同业资产收益率</t>
  </si>
  <si>
    <t>生息资产收益率</t>
  </si>
  <si>
    <t>负债</t>
  </si>
  <si>
    <t>存款对客付息率</t>
  </si>
  <si>
    <t>存款对客付息率-公司</t>
  </si>
  <si>
    <t>存款对客付息率-个人</t>
  </si>
  <si>
    <t>应付债券付息率</t>
  </si>
  <si>
    <t>同业负债付息率</t>
  </si>
  <si>
    <t>付息负债付息率</t>
  </si>
  <si>
    <t>其他</t>
  </si>
  <si>
    <t>存贷利差</t>
  </si>
  <si>
    <t>净息差</t>
  </si>
  <si>
    <t>公司客群</t>
  </si>
  <si>
    <t>公司有效客户数</t>
  </si>
  <si>
    <t>(当年实际-25年实际)/全年预算*%</t>
  </si>
  <si>
    <t>新增有效客户数</t>
  </si>
  <si>
    <t>当年实际/全年预算*%</t>
  </si>
  <si>
    <t>期间值</t>
  </si>
  <si>
    <t>客群结构</t>
  </si>
  <si>
    <t>公司有效授信客户数</t>
  </si>
  <si>
    <t>户数</t>
  </si>
  <si>
    <t>业务</t>
  </si>
  <si>
    <t>与广东省内存款年日均50万元及以上客户（不区分中大、中小）的合计去重总数</t>
  </si>
  <si>
    <t>其中：大中有效授信客户数</t>
  </si>
  <si>
    <t>中小有效授信客户数</t>
  </si>
  <si>
    <t>表内外敞口余额大于100万，与金控考核合同一致</t>
  </si>
  <si>
    <t>基石客户</t>
  </si>
  <si>
    <t>单体报表口径</t>
  </si>
  <si>
    <t>与华润银行深度合作，授信地位“数一数二”，综合金融服务交叉覆盖，存款沉淀合理充分，能够持续为华润银行贡献综合收益的客户。</t>
  </si>
  <si>
    <t>不涉及</t>
  </si>
  <si>
    <t>授信主办行客户数+司库结算客户数</t>
  </si>
  <si>
    <t>产融协同客户数</t>
  </si>
  <si>
    <t>核心企业上下游新开户数</t>
  </si>
  <si>
    <t>零售客群</t>
  </si>
  <si>
    <t>零售客户数</t>
  </si>
  <si>
    <t>万户</t>
  </si>
  <si>
    <t>零售中高端客户数</t>
  </si>
  <si>
    <t>代发客户数</t>
  </si>
  <si>
    <t>零售高净值客户数</t>
  </si>
  <si>
    <t>资产月日均200万元及以上的客户数</t>
  </si>
  <si>
    <t>手机银行客户数</t>
  </si>
  <si>
    <t>润E企用户数</t>
  </si>
  <si>
    <t>现金管理客户数</t>
  </si>
  <si>
    <t>风险</t>
  </si>
  <si>
    <t>正常类贷款余额</t>
  </si>
  <si>
    <t>关注类贷款余额</t>
  </si>
  <si>
    <t>次级类贷款余额</t>
  </si>
  <si>
    <t>可疑类贷款余额</t>
  </si>
  <si>
    <t>损失类贷款余额</t>
  </si>
  <si>
    <t>无需</t>
  </si>
  <si>
    <t>公司贷款信用损失准备</t>
  </si>
  <si>
    <t>零售贷款信用损失准备</t>
  </si>
  <si>
    <t>不良资产率</t>
  </si>
  <si>
    <t>不良贷款率</t>
  </si>
  <si>
    <t>个贷不良率</t>
  </si>
  <si>
    <t>小额不良生成率</t>
  </si>
  <si>
    <t>（期末不良额-期初不良额+当期核销-核销后回收）/期初贷款规模</t>
  </si>
  <si>
    <t>不良资产处置</t>
  </si>
  <si>
    <t>对公新增风险管控额</t>
  </si>
  <si>
    <t>未纳入存量清单的对公大额不良、关注类资产新增余额</t>
  </si>
  <si>
    <t>注：标灰可不填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</si>
</sst>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.0_ ;_ * \-#,##0.0_ ;_ * &quot;-&quot;??_ ;_ @_ "/>
    <numFmt numFmtId="177" formatCode="#,##0.0_ "/>
    <numFmt numFmtId="178" formatCode="0.0%"/>
  </numFmts>
  <fonts count="41">
    <font>
      <sz val="10"/>
      <color theme="1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25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i/>
      <sz val="12"/>
      <color rgb="FF000000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7.5"/>
      <color rgb="FF000000"/>
      <name val="等线"/>
      <charset val="134"/>
      <scheme val="minor"/>
    </font>
    <font>
      <sz val="9.75"/>
      <color rgb="FF373C43"/>
      <name val="等线"/>
      <charset val="134"/>
      <scheme val="minor"/>
    </font>
    <font>
      <sz val="9.75"/>
      <color rgb="FF6425D0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trike/>
      <sz val="9.75"/>
      <color rgb="FFF54A45"/>
      <name val="等线"/>
      <charset val="134"/>
      <scheme val="minor"/>
    </font>
    <font>
      <sz val="12"/>
      <color rgb="FF373C4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57AC0"/>
        <bgColor indexed="64"/>
      </patternFill>
    </fill>
    <fill>
      <patternFill patternType="solid">
        <fgColor rgb="FF7F3BF5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1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16" applyNumberFormat="0" applyAlignment="0" applyProtection="0">
      <alignment vertical="center"/>
    </xf>
    <xf numFmtId="0" fontId="30" fillId="13" borderId="17" applyNumberFormat="0" applyAlignment="0" applyProtection="0">
      <alignment vertical="center"/>
    </xf>
    <xf numFmtId="0" fontId="31" fillId="13" borderId="16" applyNumberFormat="0" applyAlignment="0" applyProtection="0">
      <alignment vertical="center"/>
    </xf>
    <xf numFmtId="0" fontId="32" fillId="14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2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76" fontId="10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vertical="center"/>
    </xf>
    <xf numFmtId="177" fontId="9" fillId="0" borderId="1" xfId="0" applyNumberFormat="1" applyFont="1" applyBorder="1" applyAlignment="1">
      <alignment vertical="center"/>
    </xf>
    <xf numFmtId="178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78" fontId="4" fillId="0" borderId="1" xfId="0" applyNumberFormat="1" applyFont="1" applyBorder="1" applyAlignment="1">
      <alignment vertical="center" wrapText="1"/>
    </xf>
    <xf numFmtId="178" fontId="4" fillId="0" borderId="2" xfId="0" applyNumberFormat="1" applyFont="1" applyBorder="1" applyAlignment="1">
      <alignment vertical="center" wrapText="1"/>
    </xf>
    <xf numFmtId="178" fontId="4" fillId="0" borderId="2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2" fillId="5" borderId="0" xfId="0" applyFont="1" applyFill="1" applyAlignment="1">
      <alignment horizontal="center" vertical="center"/>
    </xf>
    <xf numFmtId="49" fontId="9" fillId="0" borderId="1" xfId="0" applyNumberFormat="1" applyFont="1" applyBorder="1" applyAlignment="1">
      <alignment vertical="center"/>
    </xf>
    <xf numFmtId="10" fontId="9" fillId="0" borderId="1" xfId="0" applyNumberFormat="1" applyFont="1" applyBorder="1" applyAlignment="1">
      <alignment vertical="center"/>
    </xf>
    <xf numFmtId="176" fontId="9" fillId="0" borderId="1" xfId="0" applyNumberFormat="1" applyFont="1" applyBorder="1" applyAlignment="1">
      <alignment horizontal="center" vertical="center"/>
    </xf>
    <xf numFmtId="177" fontId="9" fillId="6" borderId="1" xfId="0" applyNumberFormat="1" applyFont="1" applyFill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0" fontId="11" fillId="7" borderId="5" xfId="0" applyFont="1" applyFill="1" applyBorder="1" applyAlignment="1">
      <alignment vertical="center" wrapText="1"/>
    </xf>
    <xf numFmtId="0" fontId="12" fillId="7" borderId="0" xfId="0" applyFont="1" applyFill="1" applyAlignment="1">
      <alignment horizontal="center" vertical="center"/>
    </xf>
    <xf numFmtId="178" fontId="13" fillId="8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76" fontId="9" fillId="0" borderId="3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176" fontId="9" fillId="0" borderId="0" xfId="0" applyNumberFormat="1" applyFont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176" fontId="9" fillId="0" borderId="6" xfId="0" applyNumberFormat="1" applyFont="1" applyBorder="1" applyAlignment="1">
      <alignment vertical="center"/>
    </xf>
    <xf numFmtId="177" fontId="9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right" vertical="center"/>
    </xf>
    <xf numFmtId="0" fontId="17" fillId="0" borderId="1" xfId="0" applyFont="1" applyBorder="1" applyAlignment="1">
      <alignment vertical="center" wrapText="1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5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178" fontId="9" fillId="0" borderId="6" xfId="0" applyNumberFormat="1" applyFont="1" applyBorder="1" applyAlignment="1">
      <alignment vertical="center"/>
    </xf>
    <xf numFmtId="176" fontId="9" fillId="0" borderId="8" xfId="0" applyNumberFormat="1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right" vertical="center"/>
    </xf>
    <xf numFmtId="178" fontId="10" fillId="0" borderId="8" xfId="0" applyNumberFormat="1" applyFont="1" applyBorder="1" applyAlignment="1">
      <alignment horizontal="right" vertical="center"/>
    </xf>
    <xf numFmtId="178" fontId="13" fillId="0" borderId="11" xfId="0" applyNumberFormat="1" applyFont="1" applyBorder="1" applyAlignment="1">
      <alignment vertical="center" wrapText="1"/>
    </xf>
    <xf numFmtId="0" fontId="9" fillId="0" borderId="8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49" fontId="10" fillId="0" borderId="8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 wrapText="1"/>
    </xf>
    <xf numFmtId="176" fontId="9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right" vertical="center"/>
    </xf>
    <xf numFmtId="0" fontId="9" fillId="4" borderId="8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/>
    </xf>
    <xf numFmtId="177" fontId="10" fillId="0" borderId="1" xfId="0" applyNumberFormat="1" applyFont="1" applyBorder="1" applyAlignment="1">
      <alignment horizontal="right" vertical="center"/>
    </xf>
    <xf numFmtId="0" fontId="19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8" fontId="13" fillId="0" borderId="1" xfId="0" applyNumberFormat="1" applyFont="1" applyBorder="1" applyAlignment="1">
      <alignment vertical="center" wrapText="1"/>
    </xf>
    <xf numFmtId="0" fontId="19" fillId="4" borderId="8" xfId="0" applyFont="1" applyFill="1" applyBorder="1" applyAlignment="1">
      <alignment vertical="center"/>
    </xf>
    <xf numFmtId="0" fontId="9" fillId="6" borderId="8" xfId="0" applyFont="1" applyFill="1" applyBorder="1" applyAlignment="1">
      <alignment vertical="center"/>
    </xf>
    <xf numFmtId="0" fontId="9" fillId="10" borderId="8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Picture 2" descr="TsyJcl"/>
        <xdr:cNvPicPr/>
      </xdr:nvPicPr>
      <xdr:blipFill>
        <a:blip r:embed="rId1"/>
        <a:stretch>
          <a:fillRect/>
        </a:stretch>
      </xdr:blipFill>
      <xdr:spPr>
        <a:xfrm>
          <a:off x="9525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3" name="Picture 3" descr="vYkJTx"/>
        <xdr:cNvPicPr/>
      </xdr:nvPicPr>
      <xdr:blipFill>
        <a:blip r:embed="rId1"/>
        <a:stretch>
          <a:fillRect/>
        </a:stretch>
      </xdr:blipFill>
      <xdr:spPr>
        <a:xfrm>
          <a:off x="9525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" name="Picture 4" descr="eSVHD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" name="Picture 5" descr="yFtTS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" name="Picture 6" descr="XfNDvc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" name="Picture 7" descr="YbnBW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" name="Picture 8" descr="otRen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" name="Picture 9" descr="GGQdZ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" name="Picture 10" descr="rqupqS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" name="Picture 11" descr="otPpg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" name="Picture 12" descr="WZbWh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" name="Picture 13" descr="iWwwdh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" name="Picture 14" descr="jYFrA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" name="Picture 15" descr="albNgS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" name="Picture 16" descr="wtkMOs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" name="Picture 17" descr="OVFsP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" name="Picture 18" descr="KMhHM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" name="Picture 19" descr="YsmsM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" name="Picture 20" descr="rpCIKi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" name="Picture 21" descr="jwSkc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" name="Picture 22" descr="QtlUBc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" name="Picture 23" descr="qtGbL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" name="Picture 24" descr="VgLwue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" name="Picture 25" descr="Xtdnxr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" name="Picture 26" descr="BbGfH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" name="Picture 27" descr="mcvffz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" name="Picture 28" descr="JgfXD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" name="Picture 29" descr="eHOoR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" name="Picture 30" descr="byKHf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" name="Picture 31" descr="YMinr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" name="Picture 32" descr="eIeml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" name="Picture 33" descr="LdsCVC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" name="Picture 34" descr="VfYjr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" name="Picture 35" descr="wXAdZ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" name="Picture 36" descr="YBhCqZ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" name="Picture 37" descr="kLnIh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" name="Picture 38" descr="cQZziI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" name="Picture 39" descr="zdexg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" name="Picture 40" descr="bvyTY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" name="Picture 41" descr="PbFUT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" name="Picture 42" descr="JUkZK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" name="Picture 43" descr="NHHmXi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" name="Picture 44" descr="NYFky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" name="Picture 45" descr="enOgw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6" name="Picture 46" descr="pjhhAI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7" name="Picture 47" descr="Epsui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8" name="Picture 48" descr="mBESvo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9" name="Picture 49" descr="qMfiJc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0" name="Picture 50" descr="fTwgde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1" name="Picture 51" descr="BbAlnS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2" name="Picture 52" descr="NXKuI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3" name="Picture 53" descr="RgzaX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4" name="Picture 54" descr="XSNQTC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5" name="Picture 55" descr="cqbGW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6" name="Picture 56" descr="XiDdju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7" name="Picture 57" descr="VfjaYI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8" name="Picture 58" descr="sqFXlS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59" name="Picture 59" descr="Gelri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0" name="Picture 60" descr="XACTx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1" name="Picture 61" descr="NSbXG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2" name="Picture 62" descr="BmsPS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3" name="Picture 63" descr="KaXVG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4" name="Picture 64" descr="GOYwl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5" name="Picture 65" descr="GYZAQ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6" name="Picture 66" descr="sZWxQ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7" name="Picture 67" descr="bvybTC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8" name="Picture 68" descr="Roxkh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69" name="Picture 69" descr="vycxU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0" name="Picture 70" descr="suinve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1" name="Picture 71" descr="dyUfK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2" name="Picture 72" descr="NQMZM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3" name="Picture 73" descr="RJfcC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4" name="Picture 74" descr="DRAgFR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5" name="Picture 75" descr="Buqpi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6" name="Picture 76" descr="PUqQp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7" name="Picture 77" descr="RKPQR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8" name="Picture 78" descr="yWCIh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79" name="Picture 79" descr="WhzaZ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0" name="Picture 80" descr="vhJhu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1" name="Picture 81" descr="BqcSs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2" name="Picture 82" descr="kypViU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3" name="Picture 83" descr="oPStXI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4" name="Picture 84" descr="pLyVo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5" name="Picture 85" descr="HmThjR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6" name="Picture 86" descr="VcfPt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7" name="Picture 87" descr="SgPKj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8" name="Picture 88" descr="DJmcb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89" name="Picture 89" descr="RVDCU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0" name="Picture 90" descr="XjwguR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1" name="Picture 91" descr="FIzaq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2" name="Picture 92" descr="aAvIHU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3" name="Picture 93" descr="WMTNBh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4" name="Picture 94" descr="dBcvo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5" name="Picture 95" descr="FYsRq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6" name="Picture 96" descr="bzQxqh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7" name="Picture 97" descr="cHwlh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8" name="Picture 98" descr="zzmxv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99" name="Picture 99" descr="lEmKh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0" name="Picture 100" descr="DanHA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1" name="Picture 101" descr="zfDqE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2" name="Picture 102" descr="cuPFn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3" name="Picture 103" descr="IRCRa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4" name="Picture 104" descr="jjRRp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5" name="Picture 105" descr="qnEuKH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6" name="Picture 106" descr="JWQho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7" name="Picture 107" descr="JDSor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8" name="Picture 108" descr="StCAeU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09" name="Picture 109" descr="HxZxT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0" name="Picture 110" descr="iRlxb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1" name="Picture 111" descr="YhioR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2" name="Picture 112" descr="RepQn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3" name="Picture 113" descr="nQBTN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4" name="Picture 114" descr="QSiSU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5" name="Picture 115" descr="hGKAn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6" name="Picture 116" descr="BXpGO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7" name="Picture 117" descr="zgTXf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8" name="Picture 118" descr="TBWZDU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19" name="Picture 119" descr="IOfKbO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0" name="Picture 120" descr="lgjqME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1" name="Picture 121" descr="KcqsC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2" name="Picture 122" descr="YbSmVR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3" name="Picture 123" descr="TIHKt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4" name="Picture 124" descr="nZfeL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5" name="Picture 125" descr="nUmJge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6" name="Picture 126" descr="lrPhg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7" name="Picture 127" descr="jUzQE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8" name="Picture 128" descr="dWyJV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29" name="Picture 129" descr="SGqXl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0" name="Picture 130" descr="KsyXd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1" name="Picture 131" descr="qlSil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2" name="Picture 132" descr="prFbu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3" name="Picture 133" descr="fQuIyZ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4" name="Picture 134" descr="ZNmjZ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5" name="Picture 135" descr="fPFVV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6" name="Picture 136" descr="hsOgL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7" name="Picture 137" descr="lpmKc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8" name="Picture 138" descr="HSiLu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39" name="Picture 139" descr="LfzdD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0" name="Picture 140" descr="dqlJX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1" name="Picture 141" descr="RsMcs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2" name="Picture 142" descr="CHKIe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3" name="Picture 143" descr="isTmz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4" name="Picture 144" descr="uKOut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5" name="Picture 145" descr="SUnLlo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6" name="Picture 146" descr="DFsoO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7" name="Picture 147" descr="qvJMC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8" name="Picture 148" descr="QuDaO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49" name="Picture 149" descr="IPoqD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0" name="Picture 150" descr="IFuwX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1" name="Picture 151" descr="YsdgcU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2" name="Picture 152" descr="NPxkr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3" name="Picture 153" descr="JfLeO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4" name="Picture 154" descr="BVCIxz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5" name="Picture 155" descr="hsGVk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6" name="Picture 156" descr="BeRCq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7" name="Picture 157" descr="FqXvJ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8" name="Picture 158" descr="Nimxs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59" name="Picture 159" descr="dIxXs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0" name="Picture 160" descr="ndksX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1" name="Picture 161" descr="KMLFQ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2" name="Picture 162" descr="qBvdGz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3" name="Picture 163" descr="KHpmSr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4" name="Picture 164" descr="AQxFJ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5" name="Picture 165" descr="SHCje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6" name="Picture 166" descr="VVCJD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7" name="Picture 167" descr="jweVyI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8" name="Picture 168" descr="KznTK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69" name="Picture 169" descr="mkUKk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0" name="Picture 170" descr="ShlpU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1" name="Picture 171" descr="Sbauh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2" name="Picture 172" descr="lkAFa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3" name="Picture 173" descr="qTqsy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4" name="Picture 174" descr="Kpjzlu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5" name="Picture 175" descr="OPXlbe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6" name="Picture 176" descr="OggiA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7" name="Picture 177" descr="jaHii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8" name="Picture 178" descr="wNuVi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79" name="Picture 179" descr="xXyBX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0" name="Picture 180" descr="xxigQ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1" name="Picture 181" descr="crxtzj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2" name="Picture 182" descr="CPsoJ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3" name="Picture 183" descr="iPMXp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4" name="Picture 184" descr="FJQfa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5" name="Picture 185" descr="nvWelc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6" name="Picture 186" descr="BFoKb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7" name="Picture 187" descr="TQtkY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8" name="Picture 188" descr="dyYYc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89" name="Picture 189" descr="ZdGiM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0" name="Picture 190" descr="DMHvYh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1" name="Picture 191" descr="lixBL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2" name="Picture 192" descr="ftjPwZ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3" name="Picture 193" descr="weslE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4" name="Picture 194" descr="xnZee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5" name="Picture 195" descr="xHqKb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6" name="Picture 196" descr="bCOrju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7" name="Picture 197" descr="xGtEm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8" name="Picture 198" descr="TtpIrS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199" name="Picture 199" descr="dQnNt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0" name="Picture 200" descr="nkFVc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1" name="Picture 201" descr="JqfqMr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2" name="Picture 202" descr="IPMLH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3" name="Picture 203" descr="UoTeq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4" name="Picture 204" descr="LbvFAa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5" name="Picture 205" descr="KdHeVc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6" name="Picture 206" descr="aQIpg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7" name="Picture 207" descr="nAmhll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8" name="Picture 208" descr="yqcCxH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09" name="Picture 209" descr="amnFqB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0" name="Picture 210" descr="cSitfY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1" name="Picture 211" descr="XnqJU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2" name="Picture 212" descr="ketTn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3" name="Picture 213" descr="iqpZqd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4" name="Picture 214" descr="CATpF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5" name="Picture 215" descr="tCjbBI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6" name="Picture 216" descr="YbpDBQ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7" name="Picture 217" descr="FILBtp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8" name="Picture 218" descr="iATkR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19" name="Picture 219" descr="vrojoo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0" name="Picture 220" descr="WTjUbZ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1" name="Picture 221" descr="ZOMYZ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2" name="Picture 222" descr="MkdcU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3" name="Picture 223" descr="nhyQBR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4" name="Picture 224" descr="pDVfH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5" name="Picture 225" descr="hMxeC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6" name="Picture 226" descr="SFbQaE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7" name="Picture 227" descr="xLArWz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8" name="Picture 228" descr="qSbIFS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29" name="Picture 229" descr="wUOes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0" name="Picture 230" descr="dTdDVK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1" name="Picture 231" descr="kWXaC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2" name="Picture 232" descr="wrJLYE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3" name="Picture 233" descr="Xnvkc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4" name="Picture 234" descr="HKvtnf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5" name="Picture 235" descr="KMesyG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6" name="Picture 236" descr="wGXRdt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7" name="Picture 237" descr="RvHwbx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8" name="Picture 238" descr="RkRJO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39" name="Picture 239" descr="bOdGY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0" name="Picture 240" descr="ePxWmw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1" name="Picture 241" descr="VfBnl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2" name="Picture 242" descr="VaoLIM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3" name="Picture 243" descr="VrWDDV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4" name="Picture 244" descr="ZbkzFN"/>
        <xdr:cNvPicPr/>
      </xdr:nvPicPr>
      <xdr:blipFill>
        <a:blip r:embed="rId1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5" name="Picture 245" descr="mqkbE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6" name="Picture 246" descr="HwkWbS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7" name="Picture 247" descr="FRyaF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8" name="Picture 248" descr="mzzDb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49" name="Picture 249" descr="WgXoE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0" name="Picture 250" descr="SLrYtl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1" name="Picture 251" descr="UEHum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2" name="Picture 252" descr="eHpqG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3" name="Picture 253" descr="cYbWc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4" name="Picture 254" descr="IJoLrD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5" name="Picture 255" descr="VRxhBi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6" name="Picture 256" descr="SOqgLd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7" name="Picture 257" descr="OwlDj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8" name="Picture 258" descr="ATPfnB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59" name="Picture 259" descr="aFmOX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0" name="Picture 260" descr="rJTtcB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1" name="Picture 261" descr="AOLKWP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2" name="Picture 262" descr="YmCSoB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3" name="Picture 263" descr="RJsED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4" name="Picture 264" descr="JBFKEg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5" name="Picture 265" descr="dretbu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6" name="Picture 266" descr="hTjeAR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7" name="Picture 267" descr="xVqRwi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8" name="Picture 268" descr="LGjsF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69" name="Picture 269" descr="zmqCxh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0" name="Picture 270" descr="iwEEZH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1" name="Picture 271" descr="vvaFx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2" name="Picture 272" descr="zTFZI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3" name="Picture 273" descr="eilRyb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4" name="Picture 274" descr="uxMpn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5" name="Picture 275" descr="RFDPVR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6" name="Picture 276" descr="YlziK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7" name="Picture 277" descr="eTaec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8" name="Picture 278" descr="MKhFY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79" name="Picture 279" descr="IyIch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0" name="Picture 280" descr="hLEiP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1" name="Picture 281" descr="oxeFM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2" name="Picture 282" descr="YgmpOh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3" name="Picture 283" descr="hDmLyA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4" name="Picture 284" descr="oykNns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5" name="Picture 285" descr="zggxx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6" name="Picture 286" descr="tzttLp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7" name="Picture 287" descr="RNTjn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8" name="Picture 288" descr="jCCpB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89" name="Picture 289" descr="jHuXaP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0" name="Picture 290" descr="CEsvb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1" name="Picture 291" descr="Rinot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2" name="Picture 292" descr="FPaEV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3" name="Picture 293" descr="pnvvR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4" name="Picture 294" descr="fxDpT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5" name="Picture 295" descr="bEZtPw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6" name="Picture 296" descr="qQuNQI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7" name="Picture 297" descr="hQhTB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8" name="Picture 298" descr="nFxXD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299" name="Picture 299" descr="lWpzr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0" name="Picture 300" descr="fWtih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1" name="Picture 301" descr="Hqtyms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2" name="Picture 302" descr="wWuvp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3" name="Picture 303" descr="xRyng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4" name="Picture 304" descr="jKPvJ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5" name="Picture 305" descr="sIQMQ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6" name="Picture 306" descr="WMFJv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7" name="Picture 307" descr="MWFGdl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8" name="Picture 308" descr="odcdt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09" name="Picture 309" descr="QEsoF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0" name="Picture 310" descr="TgtSz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1" name="Picture 311" descr="VFPSn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2" name="Picture 312" descr="dyHOEl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3" name="Picture 313" descr="AjOeAw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4" name="Picture 314" descr="QpQOOi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5" name="Picture 315" descr="iaHbL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6" name="Picture 316" descr="PtLEZ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7" name="Picture 317" descr="nvbqY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8" name="Picture 318" descr="PnTPm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19" name="Picture 319" descr="IHePI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0" name="Picture 320" descr="LIEfr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1" name="Picture 321" descr="dRmJH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2" name="Picture 322" descr="JKpRu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3" name="Picture 323" descr="zOXrN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4" name="Picture 324" descr="rlPIp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5" name="Picture 325" descr="vwiEs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6" name="Picture 326" descr="CXrnBi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7" name="Picture 327" descr="yFVay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8" name="Picture 328" descr="wNSkx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29" name="Picture 329" descr="kPtpJs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0" name="Picture 330" descr="iKnPMb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1" name="Picture 331" descr="LBSZE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2" name="Picture 332" descr="FVmON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3" name="Picture 333" descr="cJjTod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4" name="Picture 334" descr="vzLER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5" name="Picture 335" descr="TkzYzi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6" name="Picture 336" descr="cnlVd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7" name="Picture 337" descr="xQrCH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8" name="Picture 338" descr="AMhzJ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39" name="Picture 339" descr="vIHXhU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0" name="Picture 340" descr="KUqel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1" name="Picture 341" descr="pwNNNG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2" name="Picture 342" descr="LLpJF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3" name="Picture 343" descr="hwcBT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4" name="Picture 344" descr="mzhKz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5" name="Picture 345" descr="vSHSwA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6" name="Picture 346" descr="yVlRs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7" name="Picture 347" descr="ZTqiv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8" name="Picture 348" descr="owrVuG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49" name="Picture 349" descr="RsWkQs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0" name="Picture 350" descr="siMqyW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1" name="Picture 351" descr="yJHom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2" name="Picture 352" descr="VRNuSu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3" name="Picture 353" descr="miTEu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4" name="Picture 354" descr="wXetA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5" name="Picture 355" descr="kQohR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6" name="Picture 356" descr="vuOUo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7" name="Picture 357" descr="bIgtE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8" name="Picture 358" descr="RUkoM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59" name="Picture 359" descr="qbSGW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0" name="Picture 360" descr="SPNWqh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1" name="Picture 361" descr="PcvIM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2" name="Picture 362" descr="gbTZg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3" name="Picture 363" descr="IXysI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4" name="Picture 364" descr="rFQbN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5" name="Picture 365" descr="SUiSU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6" name="Picture 366" descr="OWnKNP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7" name="Picture 367" descr="ePWuqP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8" name="Picture 368" descr="JRwsi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69" name="Picture 369" descr="caIcDu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0" name="Picture 370" descr="irZLZh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1" name="Picture 371" descr="MBIIC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2" name="Picture 372" descr="VWfbk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3" name="Picture 373" descr="aAIDN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4" name="Picture 374" descr="ueUYiS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5" name="Picture 375" descr="TFPwa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6" name="Picture 376" descr="cDiQS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7" name="Picture 377" descr="QeceGW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8" name="Picture 378" descr="otREO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79" name="Picture 379" descr="FDqDG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0" name="Picture 380" descr="mbydOG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1" name="Picture 381" descr="eHTHwb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2" name="Picture 382" descr="AULBvd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3" name="Picture 383" descr="SFMME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4" name="Picture 384" descr="GQDIWI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5" name="Picture 385" descr="ZXsxkD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6" name="Picture 386" descr="YmGYv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7" name="Picture 387" descr="MJHfHD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8" name="Picture 388" descr="AxkCiR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89" name="Picture 389" descr="tdIPq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0" name="Picture 390" descr="hJEss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1" name="Picture 391" descr="jAfQqP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2" name="Picture 392" descr="PLJOi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3" name="Picture 393" descr="TaNob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4" name="Picture 394" descr="ImTnq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5" name="Picture 395" descr="IWsyxG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6" name="Picture 396" descr="SAByd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7" name="Picture 397" descr="meORg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8" name="Picture 398" descr="EakWDu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399" name="Picture 399" descr="GHsTV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0" name="Picture 400" descr="Lnrcpi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1" name="Picture 401" descr="NyLrD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2" name="Picture 402" descr="PVjuJ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3" name="Picture 403" descr="nCROq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4" name="Picture 404" descr="OMqqQ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5" name="Picture 405" descr="FgqIk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6" name="Picture 406" descr="aIrhr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7" name="Picture 407" descr="EIbMnR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8" name="Picture 408" descr="jvUng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09" name="Picture 409" descr="gXNVl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0" name="Picture 410" descr="hgOMi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1" name="Picture 411" descr="xOQhO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2" name="Picture 412" descr="HJuwk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3" name="Picture 413" descr="luPqFD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4" name="Picture 414" descr="EJesH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5" name="Picture 415" descr="buKAH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6" name="Picture 416" descr="UJJWe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7" name="Picture 417" descr="vTJHdG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8" name="Picture 418" descr="gaPbR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19" name="Picture 419" descr="nDSPU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0" name="Picture 420" descr="DRczva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1" name="Picture 421" descr="enKjlA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2" name="Picture 422" descr="kyhFq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3" name="Picture 423" descr="hpiDN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4" name="Picture 424" descr="EQDfxF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5" name="Picture 425" descr="Fzwcmp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6" name="Picture 426" descr="Qjdmm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7" name="Picture 427" descr="vBBti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8" name="Picture 428" descr="lwkOh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29" name="Picture 429" descr="Calba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0" name="Picture 430" descr="tJxtP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1" name="Picture 431" descr="rUQObs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2" name="Picture 432" descr="aIoFk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3" name="Picture 433" descr="VmzolA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4" name="Picture 434" descr="BNBDz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5" name="Picture 435" descr="vMKSP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6" name="Picture 436" descr="PlVJah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7" name="Picture 437" descr="ZUdCj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8" name="Picture 438" descr="cFAkf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39" name="Picture 439" descr="VdBQL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0" name="Picture 440" descr="OMZSvb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1" name="Picture 441" descr="UKcKg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2" name="Picture 442" descr="YVWBS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3" name="Picture 443" descr="ZSSwl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4" name="Picture 444" descr="SLtkLm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5" name="Picture 445" descr="ZilTX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6" name="Picture 446" descr="xnDWTh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7" name="Picture 447" descr="SDRDN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8" name="Picture 448" descr="UImEKP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49" name="Picture 449" descr="oExHI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0" name="Picture 450" descr="XHTeSg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1" name="Picture 451" descr="CfhNAs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2" name="Picture 452" descr="GQxlyo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3" name="Picture 453" descr="KKlzr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4" name="Picture 454" descr="IsnZd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5" name="Picture 455" descr="IHiNb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6" name="Picture 456" descr="iVgoWk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7" name="Picture 457" descr="WMhYgl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8" name="Picture 458" descr="plusp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59" name="Picture 459" descr="lZxqzt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60" name="Picture 460" descr="SzMvCj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61" name="Picture 461" descr="gAekGC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9525</xdr:colOff>
      <xdr:row>0</xdr:row>
      <xdr:rowOff>9525</xdr:rowOff>
    </xdr:to>
    <xdr:pic>
      <xdr:nvPicPr>
        <xdr:cNvPr id="462" name="Picture 462" descr="FwAsCY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63" name="Picture 463" descr="WkkCCx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64" name="Picture 464" descr="ZzhMxA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65" name="Picture 465" descr="zNRWuQ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66" name="Picture 466" descr="lnUPgh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67" name="Picture 467" descr="UaYxKV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68" name="Picture 468" descr="uWcGKz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69" name="Picture 469" descr="VYFDjn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0" name="Picture 470" descr="CbGQBa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1" name="Picture 471" descr="wXHPVE"/>
        <xdr:cNvPicPr/>
      </xdr:nvPicPr>
      <xdr:blipFill>
        <a:blip r:embed="rId2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2" name="Picture 472" descr="WARFMF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3" name="Picture 473" descr="JdnrxX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4" name="Picture 474" descr="iJnNEY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5" name="Picture 475" descr="evGQHi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6" name="Picture 476" descr="OkjhrQ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11</xdr:col>
      <xdr:colOff>0</xdr:colOff>
      <xdr:row>3</xdr:row>
      <xdr:rowOff>114300</xdr:rowOff>
    </xdr:from>
    <xdr:to>
      <xdr:col>11</xdr:col>
      <xdr:colOff>9525</xdr:colOff>
      <xdr:row>3</xdr:row>
      <xdr:rowOff>123825</xdr:rowOff>
    </xdr:to>
    <xdr:pic>
      <xdr:nvPicPr>
        <xdr:cNvPr id="477" name="Picture 477" descr="QGyjzI"/>
        <xdr:cNvPicPr/>
      </xdr:nvPicPr>
      <xdr:blipFill>
        <a:blip r:embed="rId3"/>
        <a:stretch>
          <a:fillRect/>
        </a:stretch>
      </xdr:blipFill>
      <xdr:spPr>
        <a:xfrm>
          <a:off x="10801350" y="129540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8" name="Picture 478" descr="VDuATf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79" name="Picture 479" descr="MAwUsS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0" name="Picture 480" descr="sHELpq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1" name="Picture 481" descr="ecaopJ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2" name="Picture 482" descr="SfOvdb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3" name="Picture 483" descr="EliNIy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4" name="Picture 484" descr="nYejQg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5" name="Picture 485" descr="nsVruy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6" name="Picture 486" descr="AvZnJP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819150</xdr:colOff>
      <xdr:row>2</xdr:row>
      <xdr:rowOff>66675</xdr:rowOff>
    </xdr:from>
    <xdr:to>
      <xdr:col>12</xdr:col>
      <xdr:colOff>828675</xdr:colOff>
      <xdr:row>2</xdr:row>
      <xdr:rowOff>76200</xdr:rowOff>
    </xdr:to>
    <xdr:pic>
      <xdr:nvPicPr>
        <xdr:cNvPr id="487" name="Picture 487" descr="ofcEUs"/>
        <xdr:cNvPicPr/>
      </xdr:nvPicPr>
      <xdr:blipFill>
        <a:blip r:embed="rId3"/>
        <a:stretch>
          <a:fillRect/>
        </a:stretch>
      </xdr:blipFill>
      <xdr:spPr>
        <a:xfrm>
          <a:off x="12620625" y="79057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8" name="Picture 488" descr="ogNjzb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9525</xdr:colOff>
      <xdr:row>0</xdr:row>
      <xdr:rowOff>9525</xdr:rowOff>
    </xdr:from>
    <xdr:to>
      <xdr:col>0</xdr:col>
      <xdr:colOff>19050</xdr:colOff>
      <xdr:row>0</xdr:row>
      <xdr:rowOff>19050</xdr:rowOff>
    </xdr:to>
    <xdr:pic>
      <xdr:nvPicPr>
        <xdr:cNvPr id="489" name="Picture 489" descr="aMQFoC"/>
        <xdr:cNvPicPr/>
      </xdr:nvPicPr>
      <xdr:blipFill>
        <a:blip r:embed="rId3"/>
        <a:stretch>
          <a:fillRect/>
        </a:stretch>
      </xdr:blipFill>
      <xdr:spPr>
        <a:xfrm>
          <a:off x="9525" y="9525"/>
          <a:ext cx="9525" cy="952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2" name="Picture 2" descr="cfSjzB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3" name="Picture 3" descr="efEbGW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" name="Picture 4" descr="IckAu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" name="Picture 5" descr="sesfx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" name="Picture 6" descr="pErEv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" name="Picture 7" descr="wqyQx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" name="Picture 8" descr="SAEVE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" name="Picture 9" descr="VtSiQ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" name="Picture 10" descr="LntbC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" name="Picture 11" descr="FWpuQ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" name="Picture 12" descr="WmTbA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" name="Picture 13" descr="zNebY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" name="Picture 14" descr="wlJHe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" name="Picture 15" descr="Uxgbi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" name="Picture 16" descr="nfyFO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" name="Picture 17" descr="soIKQ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" name="Picture 18" descr="uhRYK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" name="Picture 19" descr="jHNXE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" name="Picture 20" descr="ggiYy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" name="Picture 21" descr="Vouwo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" name="Picture 22" descr="QgxOl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" name="Picture 23" descr="hdyZC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" name="Picture 24" descr="gEVnK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" name="Picture 25" descr="lsgrs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" name="Picture 26" descr="UyvKQ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" name="Picture 27" descr="gpzjW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" name="Picture 28" descr="BeWIy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" name="Picture 29" descr="fsoGZ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" name="Picture 30" descr="BJzVm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" name="Picture 31" descr="YgYzL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" name="Picture 32" descr="XudWl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" name="Picture 33" descr="bNZsK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" name="Picture 34" descr="JYFdP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" name="Picture 35" descr="lJgdj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" name="Picture 36" descr="lCXVG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" name="Picture 37" descr="Iykxo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" name="Picture 38" descr="rxQAG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" name="Picture 39" descr="gIvxU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" name="Picture 40" descr="LzeHF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" name="Picture 41" descr="CUUap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" name="Picture 42" descr="WUIaV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" name="Picture 43" descr="wphAq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" name="Picture 44" descr="Rblev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" name="Picture 45" descr="XwaeM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" name="Picture 46" descr="zXPzb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7" name="Picture 47" descr="frpgl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8" name="Picture 48" descr="kUPrA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9" name="Picture 49" descr="aYKDM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0" name="Picture 50" descr="HVgXH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1" name="Picture 51" descr="uAdsO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2" name="Picture 52" descr="BqeAI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3" name="Picture 53" descr="VlWus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4" name="Picture 54" descr="XzRAd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5" name="Picture 55" descr="YPzIq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6" name="Picture 56" descr="HBLZs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7" name="Picture 57" descr="NkeqZ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8" name="Picture 58" descr="ocOLG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9" name="Picture 59" descr="WYmaK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0" name="Picture 60" descr="qzPnb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1" name="Picture 61" descr="fEpzl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2" name="Picture 62" descr="ucUQW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3" name="Picture 63" descr="XNknl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4" name="Picture 64" descr="fnvSW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5" name="Picture 65" descr="pkkfT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6" name="Picture 66" descr="PLigN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7" name="Picture 67" descr="LWhef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8" name="Picture 68" descr="aUJRt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9" name="Picture 69" descr="sKBmS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0" name="Picture 70" descr="xiEUq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1" name="Picture 71" descr="CHapQ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2" name="Picture 72" descr="GENDG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3" name="Picture 73" descr="fOpoz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4" name="Picture 74" descr="RgPjC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5" name="Picture 75" descr="KEUcD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6" name="Picture 76" descr="vjBKI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7" name="Picture 77" descr="znfGI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8" name="Picture 78" descr="xmsSK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9" name="Picture 79" descr="ixuDN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0" name="Picture 80" descr="llmMh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1" name="Picture 81" descr="ADGQj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2" name="Picture 82" descr="WBJQc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3" name="Picture 83" descr="mshAP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4" name="Picture 84" descr="cEMNZ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5" name="Picture 85" descr="cQeDG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6" name="Picture 86" descr="mRWPO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7" name="Picture 87" descr="XxykI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8" name="Picture 88" descr="BaUFg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9" name="Picture 89" descr="IfcDK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0" name="Picture 90" descr="wmnYF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1" name="Picture 91" descr="NHdTx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2" name="Picture 92" descr="gOfBO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3" name="Picture 93" descr="BDAqi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4" name="Picture 94" descr="IgYCO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5" name="Picture 95" descr="PgSvS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6" name="Picture 96" descr="ZNqfP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7" name="Picture 97" descr="QEXic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8" name="Picture 98" descr="jyeQf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9" name="Picture 99" descr="SvWyo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0" name="Picture 100" descr="RTjDW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1" name="Picture 101" descr="CFUWm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2" name="Picture 102" descr="asnEP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3" name="Picture 103" descr="uDKgN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4" name="Picture 104" descr="OnJBC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5" name="Picture 105" descr="WshAZ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6" name="Picture 106" descr="yWBam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7" name="Picture 107" descr="YdpoH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8" name="Picture 108" descr="RUjwg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9" name="Picture 109" descr="aGLli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0" name="Picture 110" descr="aRjKU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1" name="Picture 111" descr="ihxjM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2" name="Picture 112" descr="yUIaT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3" name="Picture 113" descr="VESTW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4" name="Picture 114" descr="xTmwo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5" name="Picture 115" descr="lRFIQ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6" name="Picture 116" descr="hMmJI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7" name="Picture 117" descr="WFrHj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8" name="Picture 118" descr="TYPNz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9" name="Picture 119" descr="twhkf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0" name="Picture 120" descr="bnexB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1" name="Picture 121" descr="wllgi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2" name="Picture 122" descr="iEOUJ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3" name="Picture 123" descr="vzjxD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4" name="Picture 124" descr="UtZGZ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5" name="Picture 125" descr="iTSgb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6" name="Picture 126" descr="bULHV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7" name="Picture 127" descr="FegTm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8" name="Picture 128" descr="DiJMC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9" name="Picture 129" descr="qrYAn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0" name="Picture 130" descr="EflTY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1" name="Picture 131" descr="biAnM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2" name="Picture 132" descr="goaxz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3" name="Picture 133" descr="QFLEz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4" name="Picture 134" descr="khDkx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5" name="Picture 135" descr="itdcS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6" name="Picture 136" descr="ktLwn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7" name="Picture 137" descr="glNel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8" name="Picture 138" descr="mZIMC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9" name="Picture 139" descr="wAeaj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0" name="Picture 140" descr="rUkNE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1" name="Picture 141" descr="YEkev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2" name="Picture 142" descr="YUKKg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3" name="Picture 143" descr="WZrSb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4" name="Picture 144" descr="pCiaV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5" name="Picture 145" descr="rICdz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6" name="Picture 146" descr="kvsfm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7" name="Picture 147" descr="xMJQu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8" name="Picture 148" descr="ixmKK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9" name="Picture 149" descr="ZAKgE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0" name="Picture 150" descr="xesjy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1" name="Picture 151" descr="nGjEU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2" name="Picture 152" descr="CHPEv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3" name="Picture 153" descr="LLKWv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4" name="Picture 154" descr="GbvXC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5" name="Picture 155" descr="lICSr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6" name="Picture 156" descr="lvskP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7" name="Picture 157" descr="yuOMU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8" name="Picture 158" descr="eHKaw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9" name="Picture 159" descr="yMqlg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0" name="Picture 160" descr="akBxt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1" name="Picture 161" descr="MIKzB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2" name="Picture 162" descr="gqpNH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3" name="Picture 163" descr="sgEqq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4" name="Picture 164" descr="Gxvgl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5" name="Picture 165" descr="UMowg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6" name="Picture 166" descr="LtlGr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7" name="Picture 167" descr="qzLrn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8" name="Picture 168" descr="GWTeD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9" name="Picture 169" descr="dDbgk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0" name="Picture 170" descr="grjlg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1" name="Picture 171" descr="AyIGq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2" name="Picture 172" descr="wyiFW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3" name="Picture 173" descr="fvGrM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4" name="Picture 174" descr="nHSih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5" name="Picture 175" descr="AHqVQ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6" name="Picture 176" descr="qJjVM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7" name="Picture 177" descr="RKwkZ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8" name="Picture 178" descr="YAZWN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9" name="Picture 179" descr="jywDa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0" name="Picture 180" descr="giNDz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1" name="Picture 181" descr="qdsZf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2" name="Picture 182" descr="POQpb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3" name="Picture 183" descr="MJPyP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4" name="Picture 184" descr="IPJDC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5" name="Picture 185" descr="Umjdj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6" name="Picture 186" descr="iieEJ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7" name="Picture 187" descr="xjMUJ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8" name="Picture 188" descr="gdmWL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9" name="Picture 189" descr="jCDLJ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0" name="Picture 190" descr="sgUtl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1" name="Picture 191" descr="iWuxt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2" name="Picture 192" descr="hasAF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3" name="Picture 193" descr="bBFPY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4" name="Picture 194" descr="TNbcs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5" name="Picture 195" descr="NnSvG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6" name="Picture 196" descr="LPBgE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7" name="Picture 197" descr="qwyTo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8" name="Picture 198" descr="SNLJT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9" name="Picture 199" descr="tEuLu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0" name="Picture 200" descr="sXbJJ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1" name="Picture 201" descr="tLIvZ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2" name="Picture 202" descr="EUVVr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3" name="Picture 203" descr="Xwxrl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4" name="Picture 204" descr="xQvKv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5" name="Picture 205" descr="awImM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6" name="Picture 206" descr="uqjTj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7" name="Picture 207" descr="lakjq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8" name="Picture 208" descr="cGGHu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9" name="Picture 209" descr="iiirv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0" name="Picture 210" descr="qmdGY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1" name="Picture 211" descr="zhuVd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2" name="Picture 212" descr="jbPpJ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3" name="Picture 213" descr="DnAQX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4" name="Picture 214" descr="EaXVw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5" name="Picture 215" descr="vIOVN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6" name="Picture 216" descr="OUegJ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7" name="Picture 217" descr="RaqJK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8" name="Picture 218" descr="quGxE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9" name="Picture 219" descr="vitcX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0" name="Picture 220" descr="RBUkR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1" name="Picture 221" descr="WSDWJ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2" name="Picture 222" descr="WiRcR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3" name="Picture 223" descr="MKQpv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4" name="Picture 224" descr="TjTtW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5" name="Picture 225" descr="lxiIq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6" name="Picture 226" descr="cHmiM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7" name="Picture 227" descr="ahQAX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8" name="Picture 228" descr="QifuC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9" name="Picture 229" descr="BVTUB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0" name="Picture 230" descr="jTNvo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1" name="Picture 231" descr="POQuD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2" name="Picture 232" descr="kKBXx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3" name="Picture 233" descr="hsphB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4" name="Picture 234" descr="IChVJ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5" name="Picture 235" descr="VTYxr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6" name="Picture 236" descr="JWimA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7" name="Picture 237" descr="DgUuY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8" name="Picture 238" descr="posOF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9" name="Picture 239" descr="dNCeA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0" name="Picture 240" descr="UPVtP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1" name="Picture 241" descr="BzgVD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2" name="Picture 242" descr="Seidc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3" name="Picture 243" descr="qmbCy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4" name="Picture 244" descr="WPoLY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5" name="Picture 245" descr="olhAA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6" name="Picture 246" descr="XaDyO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7" name="Picture 247" descr="CjmzB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8" name="Picture 248" descr="GqpHn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9" name="Picture 249" descr="KWXKc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0" name="Picture 250" descr="FXgLC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1" name="Picture 251" descr="Yjhpb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2" name="Picture 252" descr="oZSuh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3" name="Picture 253" descr="wvMtk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4" name="Picture 254" descr="PIzve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5" name="Picture 255" descr="LcfoL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6" name="Picture 256" descr="mLjcB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7" name="Picture 257" descr="JRddl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8" name="Picture 258" descr="FKWUa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9" name="Picture 259" descr="tDXpC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0" name="Picture 260" descr="MwmMT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1" name="Picture 261" descr="qqkSU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2" name="Picture 262" descr="XXJdz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3" name="Picture 263" descr="zQlGJ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4" name="Picture 264" descr="DWaBz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5" name="Picture 265" descr="pfSnH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6" name="Picture 266" descr="fnjlQ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7" name="Picture 267" descr="Wvihr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8" name="Picture 268" descr="KhGZD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9" name="Picture 269" descr="VDhpo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0" name="Picture 270" descr="MZDnD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1" name="Picture 271" descr="DZemv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2" name="Picture 272" descr="XPSlp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3" name="Picture 273" descr="eWNZq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4" name="Picture 274" descr="ukBiO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5" name="Picture 275" descr="MPvDE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6" name="Picture 276" descr="vPigl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7" name="Picture 277" descr="lwpWG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8" name="Picture 278" descr="DQLEe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9" name="Picture 279" descr="Rcmjb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0" name="Picture 280" descr="pScTZ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1" name="Picture 281" descr="mZcwc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2" name="Picture 282" descr="dsRWf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3" name="Picture 283" descr="ONWID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4" name="Picture 284" descr="oTbum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5" name="Picture 285" descr="PKtDU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6" name="Picture 286" descr="QmPnC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7" name="Picture 287" descr="GLRXl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8" name="Picture 288" descr="UcFdJ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9" name="Picture 289" descr="bhxKo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0" name="Picture 290" descr="LKYtX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1" name="Picture 291" descr="rSFSu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2" name="Picture 292" descr="nWGWi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3" name="Picture 293" descr="xkmZR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4" name="Picture 294" descr="qQtRn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5" name="Picture 295" descr="PyXGZ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6" name="Picture 296" descr="fRcRg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7" name="Picture 297" descr="ZMZsf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8" name="Picture 298" descr="YZExQ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9" name="Picture 299" descr="AEsBT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0" name="Picture 300" descr="ixKIq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1" name="Picture 301" descr="seEnv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2" name="Picture 302" descr="vxYsO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3" name="Picture 303" descr="Urbdh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4" name="Picture 304" descr="xzSRx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5" name="Picture 305" descr="rZMJh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6" name="Picture 306" descr="swSZf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7" name="Picture 307" descr="VoqhR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8" name="Picture 308" descr="NmumB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9" name="Picture 309" descr="LLTMg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0" name="Picture 310" descr="qjSxw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1" name="Picture 311" descr="rAViT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2" name="Picture 312" descr="MqtqS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3" name="Picture 313" descr="rAMzZ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4" name="Picture 314" descr="ZgTwu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5" name="Picture 315" descr="FvZJw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6" name="Picture 316" descr="oZbrU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7" name="Picture 317" descr="mMPbx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8" name="Picture 318" descr="lIhvF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9" name="Picture 319" descr="UiXak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0" name="Picture 320" descr="cjqft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1" name="Picture 321" descr="wvZSC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2" name="Picture 322" descr="eiEPs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3" name="Picture 323" descr="LCZvT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4" name="Picture 324" descr="KQAjT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5" name="Picture 325" descr="WVGLN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6" name="Picture 326" descr="TkYXk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7" name="Picture 327" descr="jfRqc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8" name="Picture 328" descr="qgIho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9" name="Picture 329" descr="XuGVo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0" name="Picture 330" descr="YNOkE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1" name="Picture 331" descr="rdTgH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2" name="Picture 332" descr="OsGxH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3" name="Picture 333" descr="DYeYa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4" name="Picture 334" descr="GRESo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5" name="Picture 335" descr="wzCSF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6" name="Picture 336" descr="XvnSp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7" name="Picture 337" descr="MFnwj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8" name="Picture 338" descr="iMMTE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9" name="Picture 339" descr="FgLlh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0" name="Picture 340" descr="jSlTD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1" name="Picture 341" descr="MwoCN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2" name="Picture 342" descr="vkPfH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3" name="Picture 343" descr="bYdJd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4" name="Picture 344" descr="Tgodh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5" name="Picture 345" descr="VsKwi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6" name="Picture 346" descr="egnAh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7" name="Picture 347" descr="MtTAW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8" name="Picture 348" descr="crOhR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9" name="Picture 349" descr="NNfMI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0" name="Picture 350" descr="liHRl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1" name="Picture 351" descr="TMFzJ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2" name="Picture 352" descr="mejFE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3" name="Picture 353" descr="qIuii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4" name="Picture 354" descr="TzzxG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5" name="Picture 355" descr="SxGrE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6" name="Picture 356" descr="DKSYP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7" name="Picture 357" descr="qguWU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8" name="Picture 358" descr="ECFXE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9" name="Picture 359" descr="GEByC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0" name="Picture 360" descr="tqNCm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1" name="Picture 361" descr="FKZBL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2" name="Picture 362" descr="OlKZE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3" name="Picture 363" descr="bubxM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4" name="Picture 364" descr="HPfrH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5" name="Picture 365" descr="FLrPJ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6" name="Picture 366" descr="RkHBH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7" name="Picture 367" descr="PVubR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8" name="Picture 368" descr="UlTff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9" name="Picture 369" descr="rQdPr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0" name="Picture 370" descr="GMwKc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1" name="Picture 371" descr="ZaBqO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2" name="Picture 372" descr="nTmlZ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3" name="Picture 373" descr="KrAoU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4" name="Picture 374" descr="mVXyl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5" name="Picture 375" descr="zxDUS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6" name="Picture 376" descr="oGxDd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7" name="Picture 377" descr="WaRHv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8" name="Picture 378" descr="uUnPf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9" name="Picture 379" descr="UvlhI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0" name="Picture 380" descr="kIEpw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1" name="Picture 381" descr="aomte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2" name="Picture 382" descr="rcpeO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3" name="Picture 383" descr="CJuTV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4" name="Picture 384" descr="BPpKX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5" name="Picture 385" descr="lmZNU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6" name="Picture 386" descr="faKaD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7" name="Picture 387" descr="lxUXo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8" name="Picture 388" descr="Sxpdz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9" name="Picture 389" descr="aMXpK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0" name="Picture 390" descr="sdZxv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1" name="Picture 391" descr="FANTa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2" name="Picture 392" descr="UNQpM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3" name="Picture 393" descr="JozqQ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4" name="Picture 394" descr="ZNWkZ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5" name="Picture 395" descr="FZURb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6" name="Picture 396" descr="QVgYr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7" name="Picture 397" descr="Rxqxf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8" name="Picture 398" descr="qDcIh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9" name="Picture 399" descr="aWSyI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0" name="Picture 400" descr="kYAmp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1" name="Picture 401" descr="PsiCJ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2" name="Picture 402" descr="wWQPR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3" name="Picture 403" descr="DwuCz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4" name="Picture 404" descr="HIlnC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5" name="Picture 405" descr="mJlnE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6" name="Picture 406" descr="sWgLF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7" name="Picture 407" descr="ikryc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8" name="Picture 408" descr="rduuc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9" name="Picture 409" descr="kUTkc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0" name="Picture 410" descr="KcmDD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1" name="Picture 411" descr="jhxfd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2" name="Picture 412" descr="wsJyH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3" name="Picture 413" descr="XhOhf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4" name="Picture 414" descr="SFmjs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5" name="Picture 415" descr="JqJQT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6" name="Picture 416" descr="JLydo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7" name="Picture 417" descr="UIrHg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8" name="Picture 418" descr="bbsNf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9" name="Picture 419" descr="wpYJQ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0" name="Picture 420" descr="wOBhc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1" name="Picture 421" descr="kYhLF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2" name="Picture 422" descr="DyZae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3" name="Picture 423" descr="lkLVG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4" name="Picture 424" descr="rcpZg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5" name="Picture 425" descr="IRZth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6" name="Picture 426" descr="VisBK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7" name="Picture 427" descr="Tbkml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8" name="Picture 428" descr="WeFgZ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9" name="Picture 429" descr="ecOXo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0" name="Picture 430" descr="rSkUN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1" name="Picture 431" descr="eGoCT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2" name="Picture 432" descr="vloRO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3" name="Picture 433" descr="foCPC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4" name="Picture 434" descr="KaOGU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5" name="Picture 435" descr="wDOUz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6" name="Picture 436" descr="CQDmx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7" name="Picture 437" descr="hTqsc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8" name="Picture 438" descr="fivUZ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9" name="Picture 439" descr="cKTMU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0" name="Picture 440" descr="VlhHj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1" name="Picture 441" descr="EUVQI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2" name="Picture 442" descr="OUCJS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3" name="Picture 443" descr="PMoXE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4" name="Picture 444" descr="MtILs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5" name="Picture 445" descr="oMTfT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6" name="Picture 446" descr="XoGCw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7" name="Picture 447" descr="QLudk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8" name="Picture 448" descr="lrsSz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9" name="Picture 449" descr="TjkMX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0" name="Picture 450" descr="tRcvV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1" name="Picture 451" descr="UXOJP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2" name="Picture 452" descr="SefgZ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3" name="Picture 453" descr="Ikelu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4" name="Picture 454" descr="rMbQp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5" name="Picture 455" descr="lzBSU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6" name="Picture 456" descr="jxjIm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7" name="Picture 457" descr="Xcydk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8" name="Picture 458" descr="TEhto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9" name="Picture 459" descr="pcATl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0" name="Picture 460" descr="mQpfK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1" name="Picture 461" descr="EwdmT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2" name="Picture 462" descr="dsqTw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3" name="Picture 463" descr="TIfmE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4" name="Picture 464" descr="reVFH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5" name="Picture 465" descr="ayZFc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6" name="Picture 466" descr="LHDdp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7" name="Picture 467" descr="MwFkZ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8" name="Picture 468" descr="QUxiO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9" name="Picture 469" descr="RAfki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0" name="Picture 470" descr="lxSoj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1" name="Picture 471" descr="JOpru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2" name="Picture 472" descr="DKZXTA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3" name="Picture 473" descr="JaQLSF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4" name="Picture 474" descr="DKWETI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5" name="Picture 475" descr="qAiQrY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6" name="Picture 476" descr="lPMjBJ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5</xdr:col>
      <xdr:colOff>0</xdr:colOff>
      <xdr:row>2</xdr:row>
      <xdr:rowOff>114300</xdr:rowOff>
    </xdr:from>
    <xdr:to>
      <xdr:col>5</xdr:col>
      <xdr:colOff>9525</xdr:colOff>
      <xdr:row>2</xdr:row>
      <xdr:rowOff>123825</xdr:rowOff>
    </xdr:to>
    <xdr:pic>
      <xdr:nvPicPr>
        <xdr:cNvPr id="477" name="Picture 477" descr="TKXvPU"/>
        <xdr:cNvPicPr/>
      </xdr:nvPicPr>
      <xdr:blipFill>
        <a:blip r:embed="rId3"/>
        <a:stretch>
          <a:fillRect/>
        </a:stretch>
      </xdr:blipFill>
      <xdr:spPr>
        <a:xfrm>
          <a:off x="4733925" y="105410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8" name="Picture 478" descr="QKOzyX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9" name="Picture 479" descr="KXJXsU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0" name="Picture 480" descr="EOLInw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1" name="Picture 481" descr="ZJJgga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2" name="Picture 482" descr="RyZVPu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3" name="Picture 483" descr="sVZvPj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4" name="Picture 484" descr="VBUZfq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5" name="Picture 485" descr="KYXNVf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6" name="Picture 486" descr="cXCEjs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5</xdr:col>
      <xdr:colOff>819150</xdr:colOff>
      <xdr:row>1</xdr:row>
      <xdr:rowOff>66675</xdr:rowOff>
    </xdr:from>
    <xdr:to>
      <xdr:col>5</xdr:col>
      <xdr:colOff>828675</xdr:colOff>
      <xdr:row>1</xdr:row>
      <xdr:rowOff>76200</xdr:rowOff>
    </xdr:to>
    <xdr:pic>
      <xdr:nvPicPr>
        <xdr:cNvPr id="487" name="Picture 487" descr="ApfzUI"/>
        <xdr:cNvPicPr/>
      </xdr:nvPicPr>
      <xdr:blipFill>
        <a:blip r:embed="rId3"/>
        <a:stretch>
          <a:fillRect/>
        </a:stretch>
      </xdr:blipFill>
      <xdr:spPr>
        <a:xfrm>
          <a:off x="5534025" y="549275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8" name="Picture 488" descr="SFcJKe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9" name="Picture 489" descr="pYZDZi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2" name="Picture 2" descr="OVynEY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3" name="Picture 3" descr="bPfFvB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" name="Picture 4" descr="faDjG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" name="Picture 5" descr="KCszD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" name="Picture 6" descr="zoSbE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" name="Picture 7" descr="ctrPP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" name="Picture 8" descr="iTBFx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" name="Picture 9" descr="QvBHj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" name="Picture 10" descr="nitvL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" name="Picture 11" descr="pSdAk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" name="Picture 12" descr="HklKy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" name="Picture 13" descr="cbIEi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" name="Picture 14" descr="HQJtY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" name="Picture 15" descr="tRJhC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" name="Picture 16" descr="vDyeu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" name="Picture 17" descr="ylPlI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" name="Picture 18" descr="lfLdW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" name="Picture 19" descr="EqlhJ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" name="Picture 20" descr="ysLbY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" name="Picture 21" descr="RAwIc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" name="Picture 22" descr="oTzkI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" name="Picture 23" descr="zALdI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" name="Picture 24" descr="wcbtf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" name="Picture 25" descr="nmijk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" name="Picture 26" descr="CCZiN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" name="Picture 27" descr="vjsEj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" name="Picture 28" descr="egcNQ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" name="Picture 29" descr="qibjz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" name="Picture 30" descr="vjWaD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" name="Picture 31" descr="SAoLA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" name="Picture 32" descr="pMNWO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" name="Picture 33" descr="nHawe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" name="Picture 34" descr="ssPmv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" name="Picture 35" descr="lKvuR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" name="Picture 36" descr="JXvNR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" name="Picture 37" descr="yQZFt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" name="Picture 38" descr="DLjaK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" name="Picture 39" descr="IXfiN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" name="Picture 40" descr="Modkv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" name="Picture 41" descr="ktaWl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" name="Picture 42" descr="OXPRp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" name="Picture 43" descr="oYqSB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" name="Picture 44" descr="SUhZQ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" name="Picture 45" descr="stRqe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" name="Picture 46" descr="JjMBJ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7" name="Picture 47" descr="aKUIW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8" name="Picture 48" descr="PvCQP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9" name="Picture 49" descr="ooSxd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0" name="Picture 50" descr="oPzEd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1" name="Picture 51" descr="CnwlL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2" name="Picture 52" descr="zPDKe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3" name="Picture 53" descr="tmzYB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4" name="Picture 54" descr="VrZcP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5" name="Picture 55" descr="YWgkp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6" name="Picture 56" descr="hHCbk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7" name="Picture 57" descr="qyyMF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8" name="Picture 58" descr="HoNEa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9" name="Picture 59" descr="WULLb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0" name="Picture 60" descr="FSJmS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1" name="Picture 61" descr="CLyJA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2" name="Picture 62" descr="yleTh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3" name="Picture 63" descr="IGexw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4" name="Picture 64" descr="xCXmR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5" name="Picture 65" descr="rTpKp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6" name="Picture 66" descr="sLEks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7" name="Picture 67" descr="vdDhq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8" name="Picture 68" descr="WgRhN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9" name="Picture 69" descr="DmVbn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0" name="Picture 70" descr="OJfjc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1" name="Picture 71" descr="zPGwq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2" name="Picture 72" descr="vDSAT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3" name="Picture 73" descr="KhPSZ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4" name="Picture 74" descr="siqLE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5" name="Picture 75" descr="FiTIN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6" name="Picture 76" descr="rHJxi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7" name="Picture 77" descr="MYxUO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8" name="Picture 78" descr="jwEqy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9" name="Picture 79" descr="KBvfU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0" name="Picture 80" descr="cpzWz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1" name="Picture 81" descr="mUXvH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2" name="Picture 82" descr="BReMB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3" name="Picture 83" descr="ohZVf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4" name="Picture 84" descr="gWwGt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5" name="Picture 85" descr="tpjZJ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6" name="Picture 86" descr="qIYOm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7" name="Picture 87" descr="mMhEp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8" name="Picture 88" descr="FeGxz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9" name="Picture 89" descr="LNpoJ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0" name="Picture 90" descr="QdNRt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1" name="Picture 91" descr="aEEjB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2" name="Picture 92" descr="faQkA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3" name="Picture 93" descr="IiKxd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4" name="Picture 94" descr="HPPje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5" name="Picture 95" descr="sYBmE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6" name="Picture 96" descr="bhCdV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7" name="Picture 97" descr="yKXnn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8" name="Picture 98" descr="NEiYw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9" name="Picture 99" descr="bQLXO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0" name="Picture 100" descr="VviIi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1" name="Picture 101" descr="AnxnG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2" name="Picture 102" descr="BetGc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3" name="Picture 103" descr="quBIC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4" name="Picture 104" descr="DEQcb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5" name="Picture 105" descr="ngXKc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6" name="Picture 106" descr="qCcVk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7" name="Picture 107" descr="nCPSn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8" name="Picture 108" descr="pjeZX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9" name="Picture 109" descr="bEBYi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0" name="Picture 110" descr="KkEud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1" name="Picture 111" descr="Cebog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2" name="Picture 112" descr="eIjzE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3" name="Picture 113" descr="LXthQ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4" name="Picture 114" descr="oPYlt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5" name="Picture 115" descr="sxMyd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6" name="Picture 116" descr="ZwSKW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7" name="Picture 117" descr="KnxvI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8" name="Picture 118" descr="CrIAt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9" name="Picture 119" descr="iNqGO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0" name="Picture 120" descr="DLwsR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1" name="Picture 121" descr="wmHcJ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2" name="Picture 122" descr="ZBzLj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3" name="Picture 123" descr="XFbIj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4" name="Picture 124" descr="BzUYh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5" name="Picture 125" descr="ZqfGk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6" name="Picture 126" descr="sNouG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7" name="Picture 127" descr="dkVBa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8" name="Picture 128" descr="pWDjo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9" name="Picture 129" descr="GLmim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0" name="Picture 130" descr="ilPuz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1" name="Picture 131" descr="NfSmI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2" name="Picture 132" descr="eeMda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3" name="Picture 133" descr="dEzVa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4" name="Picture 134" descr="yNjok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5" name="Picture 135" descr="ecyhq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6" name="Picture 136" descr="TgAYZ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7" name="Picture 137" descr="bMHBO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8" name="Picture 138" descr="wYIkO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9" name="Picture 139" descr="hHQts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0" name="Picture 140" descr="GpoxI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1" name="Picture 141" descr="ESzfT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2" name="Picture 142" descr="gHJyi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3" name="Picture 143" descr="ncFCX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4" name="Picture 144" descr="RKsUl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5" name="Picture 145" descr="NGeFW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6" name="Picture 146" descr="HBIUf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7" name="Picture 147" descr="hqxoi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8" name="Picture 148" descr="LFRNd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9" name="Picture 149" descr="KTpHu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0" name="Picture 150" descr="SRXHf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1" name="Picture 151" descr="lTHPJ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2" name="Picture 152" descr="bpRmN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3" name="Picture 153" descr="qoaSw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4" name="Picture 154" descr="Grjdf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5" name="Picture 155" descr="FFomP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6" name="Picture 156" descr="AcYkp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7" name="Picture 157" descr="MQzjm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8" name="Picture 158" descr="GwPLK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9" name="Picture 159" descr="NahDV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0" name="Picture 160" descr="LpzFi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1" name="Picture 161" descr="Xkzlk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2" name="Picture 162" descr="kzxiz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3" name="Picture 163" descr="vIyGM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4" name="Picture 164" descr="kciOM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5" name="Picture 165" descr="RlrAY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6" name="Picture 166" descr="CLYoW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7" name="Picture 167" descr="VDwfL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8" name="Picture 168" descr="cEDdo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9" name="Picture 169" descr="Rfttj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0" name="Picture 170" descr="VKvVT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1" name="Picture 171" descr="CZPZW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2" name="Picture 172" descr="XHXmj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3" name="Picture 173" descr="wYXix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4" name="Picture 174" descr="eYTwD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5" name="Picture 175" descr="uhvyX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6" name="Picture 176" descr="BGtip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7" name="Picture 177" descr="BBLpe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8" name="Picture 178" descr="dpHAb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9" name="Picture 179" descr="ALVdG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0" name="Picture 180" descr="Ixxch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1" name="Picture 181" descr="IsaUd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2" name="Picture 182" descr="alTYK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3" name="Picture 183" descr="Tpbdm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4" name="Picture 184" descr="EdNJe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5" name="Picture 185" descr="XyAcV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6" name="Picture 186" descr="Fcgpu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7" name="Picture 187" descr="qjGGY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8" name="Picture 188" descr="mXxvj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9" name="Picture 189" descr="qDeaK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0" name="Picture 190" descr="UzCEx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1" name="Picture 191" descr="LMcXt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2" name="Picture 192" descr="mIIoz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3" name="Picture 193" descr="YPFdQ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4" name="Picture 194" descr="GoGvr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5" name="Picture 195" descr="NEvkb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6" name="Picture 196" descr="wadof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7" name="Picture 197" descr="ymrfs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8" name="Picture 198" descr="BmNQC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9" name="Picture 199" descr="AjRqp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0" name="Picture 200" descr="xhvTC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1" name="Picture 201" descr="wKTlm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2" name="Picture 202" descr="XsgkF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3" name="Picture 203" descr="wOaCd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4" name="Picture 204" descr="SDtoJ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5" name="Picture 205" descr="yzDCU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6" name="Picture 206" descr="oXvVw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7" name="Picture 207" descr="dBPnW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8" name="Picture 208" descr="LocNB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9" name="Picture 209" descr="RcdRE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0" name="Picture 210" descr="MqUtM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1" name="Picture 211" descr="xkaIg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2" name="Picture 212" descr="paEXS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3" name="Picture 213" descr="YrclG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4" name="Picture 214" descr="VCRNn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5" name="Picture 215" descr="NZZUy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6" name="Picture 216" descr="BmspZ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7" name="Picture 217" descr="FyNPs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8" name="Picture 218" descr="XTbTu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9" name="Picture 219" descr="uaRoa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0" name="Picture 220" descr="XoBnp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1" name="Picture 221" descr="PAkzZ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2" name="Picture 222" descr="nouig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3" name="Picture 223" descr="bFADa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4" name="Picture 224" descr="CBwdu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5" name="Picture 225" descr="qhJfX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6" name="Picture 226" descr="IJkpZ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7" name="Picture 227" descr="bvRpi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8" name="Picture 228" descr="gNcrt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9" name="Picture 229" descr="xChJm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0" name="Picture 230" descr="unLkH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1" name="Picture 231" descr="odUvY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2" name="Picture 232" descr="AJPKY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3" name="Picture 233" descr="KceZb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4" name="Picture 234" descr="dOcsy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5" name="Picture 235" descr="ziJFN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6" name="Picture 236" descr="YBUjU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7" name="Picture 237" descr="gOioG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8" name="Picture 238" descr="mdnGS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9" name="Picture 239" descr="oPSRy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0" name="Picture 240" descr="bbBgY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1" name="Picture 241" descr="OISmZ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2" name="Picture 242" descr="fKiYT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3" name="Picture 243" descr="eaXMn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4" name="Picture 244" descr="ZrSIo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5" name="Picture 245" descr="qJSQb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6" name="Picture 246" descr="IRNdR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7" name="Picture 247" descr="kvIiP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8" name="Picture 248" descr="opYTE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9" name="Picture 249" descr="hqZKq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0" name="Picture 250" descr="otfpg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1" name="Picture 251" descr="JpVlg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2" name="Picture 252" descr="yIvKT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3" name="Picture 253" descr="xAWDc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4" name="Picture 254" descr="QuCRU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5" name="Picture 255" descr="CMxWu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6" name="Picture 256" descr="YsGox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7" name="Picture 257" descr="hiioN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8" name="Picture 258" descr="PExZB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9" name="Picture 259" descr="gnInn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0" name="Picture 260" descr="MalxD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1" name="Picture 261" descr="UMGCt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2" name="Picture 262" descr="cXhel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3" name="Picture 263" descr="cDxuD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4" name="Picture 264" descr="WrsTi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5" name="Picture 265" descr="GNRfF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6" name="Picture 266" descr="CgWgD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7" name="Picture 267" descr="RdVOC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8" name="Picture 268" descr="IbcxL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9" name="Picture 269" descr="XcWIE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0" name="Picture 270" descr="XONlc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1" name="Picture 271" descr="pTSFg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2" name="Picture 272" descr="kCMtX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3" name="Picture 273" descr="GghFa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4" name="Picture 274" descr="erCXK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5" name="Picture 275" descr="ISenK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6" name="Picture 276" descr="Ycvme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7" name="Picture 277" descr="TcOTR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8" name="Picture 278" descr="TzsYr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9" name="Picture 279" descr="XeNmR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0" name="Picture 280" descr="iAtvN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1" name="Picture 281" descr="OYLwf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2" name="Picture 282" descr="eDngl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3" name="Picture 283" descr="Qjvgb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4" name="Picture 284" descr="xoNSu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5" name="Picture 285" descr="DFCPK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6" name="Picture 286" descr="EymRK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7" name="Picture 287" descr="VFqlB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8" name="Picture 288" descr="JMXnH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9" name="Picture 289" descr="kbwZM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0" name="Picture 290" descr="fgTvl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1" name="Picture 291" descr="NxIkw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2" name="Picture 292" descr="tCCPs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3" name="Picture 293" descr="LbUWD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4" name="Picture 294" descr="WezpW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5" name="Picture 295" descr="bznxq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6" name="Picture 296" descr="kwHfb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7" name="Picture 297" descr="ODBBz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8" name="Picture 298" descr="brPOF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9" name="Picture 299" descr="SEEgM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0" name="Picture 300" descr="IWltd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1" name="Picture 301" descr="eShWN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2" name="Picture 302" descr="vTcau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3" name="Picture 303" descr="vnqVq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4" name="Picture 304" descr="HXEJP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5" name="Picture 305" descr="HgGIR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6" name="Picture 306" descr="IDWao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7" name="Picture 307" descr="GICaS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8" name="Picture 308" descr="ipbts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9" name="Picture 309" descr="EpsYe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0" name="Picture 310" descr="gZGJF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1" name="Picture 311" descr="lsExb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2" name="Picture 312" descr="JDVSo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3" name="Picture 313" descr="URwmA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4" name="Picture 314" descr="flDZQ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5" name="Picture 315" descr="UcPOB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6" name="Picture 316" descr="wstQO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7" name="Picture 317" descr="tkSet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8" name="Picture 318" descr="OCNWx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9" name="Picture 319" descr="bYGIk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0" name="Picture 320" descr="fHgAh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1" name="Picture 321" descr="cjgAp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2" name="Picture 322" descr="XvUFB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3" name="Picture 323" descr="eGVQI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4" name="Picture 324" descr="Vsqxj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5" name="Picture 325" descr="guhFg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6" name="Picture 326" descr="cFZZd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7" name="Picture 327" descr="cNoou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8" name="Picture 328" descr="TnLjy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9" name="Picture 329" descr="hJnbF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0" name="Picture 330" descr="wSjmo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1" name="Picture 331" descr="sfwqI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2" name="Picture 332" descr="gBtrC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3" name="Picture 333" descr="tbmbx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4" name="Picture 334" descr="FTXRa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5" name="Picture 335" descr="ZrtJz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6" name="Picture 336" descr="EKnxF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7" name="Picture 337" descr="bvooo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8" name="Picture 338" descr="hysTq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9" name="Picture 339" descr="gsdMm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0" name="Picture 340" descr="llgTq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1" name="Picture 341" descr="uraoC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2" name="Picture 342" descr="vQhHr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3" name="Picture 343" descr="QEokS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4" name="Picture 344" descr="amSPT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5" name="Picture 345" descr="EMYdh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6" name="Picture 346" descr="KWAWk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7" name="Picture 347" descr="fvDLW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8" name="Picture 348" descr="RgsGv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9" name="Picture 349" descr="hgTit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0" name="Picture 350" descr="tyFHs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1" name="Picture 351" descr="HHPqv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2" name="Picture 352" descr="dArdT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3" name="Picture 353" descr="CSOfC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4" name="Picture 354" descr="uQwdS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5" name="Picture 355" descr="qVQIt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6" name="Picture 356" descr="jJmkQ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7" name="Picture 357" descr="xCDSu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8" name="Picture 358" descr="kvocI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9" name="Picture 359" descr="IqbCN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0" name="Picture 360" descr="QysDp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1" name="Picture 361" descr="SoDjP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2" name="Picture 362" descr="nkdCM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3" name="Picture 363" descr="JYmyj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4" name="Picture 364" descr="wcFzV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5" name="Picture 365" descr="LJnyA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6" name="Picture 366" descr="GNvwp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7" name="Picture 367" descr="quuTB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8" name="Picture 368" descr="qtSCu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9" name="Picture 369" descr="JqcYs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0" name="Picture 370" descr="JhsFc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1" name="Picture 371" descr="SdeQR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2" name="Picture 372" descr="usfwV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3" name="Picture 373" descr="tETGi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4" name="Picture 374" descr="zfNpo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5" name="Picture 375" descr="rmxYr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6" name="Picture 376" descr="tzjxU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7" name="Picture 377" descr="JjyCN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8" name="Picture 378" descr="jYTiV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9" name="Picture 379" descr="JqWYS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0" name="Picture 380" descr="DAGpg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1" name="Picture 381" descr="qjWXI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2" name="Picture 382" descr="pWWNu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3" name="Picture 383" descr="TsCXh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4" name="Picture 384" descr="jgmdy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5" name="Picture 385" descr="mmiYF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6" name="Picture 386" descr="AUTWI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7" name="Picture 387" descr="xgGHj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8" name="Picture 388" descr="WnJIr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9" name="Picture 389" descr="pdXXz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0" name="Picture 390" descr="LGuan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1" name="Picture 391" descr="jniEr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2" name="Picture 392" descr="bXKpi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3" name="Picture 393" descr="ySZtW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4" name="Picture 394" descr="jggcF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5" name="Picture 395" descr="KqPuq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6" name="Picture 396" descr="ZuYxf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7" name="Picture 397" descr="phbKF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8" name="Picture 398" descr="CjOGu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9" name="Picture 399" descr="iDOjF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0" name="Picture 400" descr="VmBwb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1" name="Picture 401" descr="pECuc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2" name="Picture 402" descr="zVtgy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3" name="Picture 403" descr="DPOmw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4" name="Picture 404" descr="ZFZYl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5" name="Picture 405" descr="gXFvh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6" name="Picture 406" descr="RXLyy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7" name="Picture 407" descr="FabkN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8" name="Picture 408" descr="FVUlY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9" name="Picture 409" descr="EUQxw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0" name="Picture 410" descr="vcbeH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1" name="Picture 411" descr="UiRnw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2" name="Picture 412" descr="WdhxR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3" name="Picture 413" descr="fNDNO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4" name="Picture 414" descr="gpRHf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5" name="Picture 415" descr="vxsPI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6" name="Picture 416" descr="jWpHt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7" name="Picture 417" descr="tPWNK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8" name="Picture 418" descr="Nphll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9" name="Picture 419" descr="UzlPD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0" name="Picture 420" descr="rSOXV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1" name="Picture 421" descr="VxccZ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2" name="Picture 422" descr="eySPl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3" name="Picture 423" descr="PKuGD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4" name="Picture 424" descr="yBmEI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5" name="Picture 425" descr="YNkTY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6" name="Picture 426" descr="Fmhxr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7" name="Picture 427" descr="PLjoy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8" name="Picture 428" descr="ZYJKH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9" name="Picture 429" descr="MasUR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0" name="Picture 430" descr="jiqAn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1" name="Picture 431" descr="GcWJI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2" name="Picture 432" descr="mDswY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3" name="Picture 433" descr="eqxSF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4" name="Picture 434" descr="ALSdf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5" name="Picture 435" descr="ufVIy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6" name="Picture 436" descr="CnECX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7" name="Picture 437" descr="yxwoW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8" name="Picture 438" descr="nkXMJ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9" name="Picture 439" descr="tGoBC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0" name="Picture 440" descr="HMPOE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1" name="Picture 441" descr="pdpgQ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2" name="Picture 442" descr="LbZqw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3" name="Picture 443" descr="SCLlR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4" name="Picture 444" descr="KNSwN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5" name="Picture 445" descr="Xhoqc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6" name="Picture 446" descr="QiRPH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7" name="Picture 447" descr="wpOBu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8" name="Picture 448" descr="sfRhc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9" name="Picture 449" descr="IPsTl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0" name="Picture 450" descr="eVbZf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1" name="Picture 451" descr="gdKxE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2" name="Picture 452" descr="AgFWr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3" name="Picture 453" descr="rQtXY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4" name="Picture 454" descr="UdbtB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5" name="Picture 455" descr="UsqSg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6" name="Picture 456" descr="bYPnt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7" name="Picture 457" descr="TiJjo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8" name="Picture 458" descr="ApYlF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9" name="Picture 459" descr="gYfvT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0" name="Picture 460" descr="tNvYa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1" name="Picture 461" descr="Yzjdb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2" name="Picture 462" descr="mlwzY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3" name="Picture 463" descr="lYGsR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4" name="Picture 464" descr="aUlIX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5" name="Picture 465" descr="qZPyr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6" name="Picture 466" descr="JjTLx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7" name="Picture 467" descr="TiGAU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8" name="Picture 468" descr="FCLjg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9" name="Picture 469" descr="GTTSe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0" name="Picture 470" descr="cTZDo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1" name="Picture 471" descr="akzYS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2" name="Picture 472" descr="LjHTBa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3" name="Picture 473" descr="TSwfuF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4" name="Picture 474" descr="HCdGiB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5" name="Picture 475" descr="DrsXZF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6" name="Picture 476" descr="qgCean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6</xdr:col>
      <xdr:colOff>0</xdr:colOff>
      <xdr:row>3</xdr:row>
      <xdr:rowOff>114300</xdr:rowOff>
    </xdr:from>
    <xdr:to>
      <xdr:col>6</xdr:col>
      <xdr:colOff>9525</xdr:colOff>
      <xdr:row>3</xdr:row>
      <xdr:rowOff>123825</xdr:rowOff>
    </xdr:to>
    <xdr:pic>
      <xdr:nvPicPr>
        <xdr:cNvPr id="477" name="Picture 477" descr="fcjYDO"/>
        <xdr:cNvPicPr/>
      </xdr:nvPicPr>
      <xdr:blipFill>
        <a:blip r:embed="rId3"/>
        <a:stretch>
          <a:fillRect/>
        </a:stretch>
      </xdr:blipFill>
      <xdr:spPr>
        <a:xfrm>
          <a:off x="6000750" y="113030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8" name="Picture 478" descr="fIyeSl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9" name="Picture 479" descr="trkuvp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0" name="Picture 480" descr="JOmTFq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1" name="Picture 481" descr="AbyiDK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2" name="Picture 482" descr="pntWve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3" name="Picture 483" descr="RmNMAr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4" name="Picture 484" descr="IeiWDv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5" name="Picture 485" descr="fMfTQQ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6" name="Picture 486" descr="XQoxDU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8</xdr:col>
      <xdr:colOff>819150</xdr:colOff>
      <xdr:row>2</xdr:row>
      <xdr:rowOff>66675</xdr:rowOff>
    </xdr:from>
    <xdr:to>
      <xdr:col>8</xdr:col>
      <xdr:colOff>828675</xdr:colOff>
      <xdr:row>2</xdr:row>
      <xdr:rowOff>76200</xdr:rowOff>
    </xdr:to>
    <xdr:pic>
      <xdr:nvPicPr>
        <xdr:cNvPr id="487" name="Picture 487" descr="jSngzI"/>
        <xdr:cNvPicPr/>
      </xdr:nvPicPr>
      <xdr:blipFill>
        <a:blip r:embed="rId3"/>
        <a:stretch>
          <a:fillRect/>
        </a:stretch>
      </xdr:blipFill>
      <xdr:spPr>
        <a:xfrm>
          <a:off x="9001125" y="765175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8" name="Picture 488" descr="DvnzkV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9" name="Picture 489" descr="hpttvM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2" name="Picture 2" descr="PEOVGq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3" name="Picture 3" descr="rpbMKH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" name="Picture 4" descr="AsXET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" name="Picture 5" descr="nvFdv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" name="Picture 6" descr="IAfjL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" name="Picture 7" descr="hvdNz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" name="Picture 8" descr="YQtya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" name="Picture 9" descr="BEabD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" name="Picture 10" descr="dGgVB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" name="Picture 11" descr="SczkJ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" name="Picture 12" descr="jKWke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" name="Picture 13" descr="UDIeu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" name="Picture 14" descr="sJrXD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" name="Picture 15" descr="bpvvX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" name="Picture 16" descr="ejpwM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" name="Picture 17" descr="GTHso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" name="Picture 18" descr="SgFDw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" name="Picture 19" descr="NTezm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" name="Picture 20" descr="YgNPj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" name="Picture 21" descr="mxrwH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" name="Picture 22" descr="RBRhZ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" name="Picture 23" descr="YNPmP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" name="Picture 24" descr="FsMnw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" name="Picture 25" descr="cRNNC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" name="Picture 26" descr="FONkH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" name="Picture 27" descr="BMawB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" name="Picture 28" descr="IJDtB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" name="Picture 29" descr="lDIDs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" name="Picture 30" descr="bxQrh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" name="Picture 31" descr="AhwPq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" name="Picture 32" descr="wdaqg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" name="Picture 33" descr="KqxGe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" name="Picture 34" descr="QyLie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" name="Picture 35" descr="RInYa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" name="Picture 36" descr="vjyqz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" name="Picture 37" descr="UTRxs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" name="Picture 38" descr="bgGmx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" name="Picture 39" descr="AKzwm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" name="Picture 40" descr="ZkraA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" name="Picture 41" descr="PbpUO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" name="Picture 42" descr="vqwaH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" name="Picture 43" descr="hZYnq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" name="Picture 44" descr="NkzgC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" name="Picture 45" descr="QomxS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" name="Picture 46" descr="NRlEJ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7" name="Picture 47" descr="hWxHH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8" name="Picture 48" descr="pDXPY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9" name="Picture 49" descr="KnwGx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0" name="Picture 50" descr="OUfll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1" name="Picture 51" descr="UlMFP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2" name="Picture 52" descr="ZfUvy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3" name="Picture 53" descr="kgVqg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4" name="Picture 54" descr="ApdQm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5" name="Picture 55" descr="SQPcy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6" name="Picture 56" descr="cuegn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7" name="Picture 57" descr="rVLEJ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8" name="Picture 58" descr="tcFLT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9" name="Picture 59" descr="AMBLa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0" name="Picture 60" descr="HZDQR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1" name="Picture 61" descr="BqdxS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2" name="Picture 62" descr="KvvAo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3" name="Picture 63" descr="QsfvI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4" name="Picture 64" descr="GfyyS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5" name="Picture 65" descr="fNDfd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6" name="Picture 66" descr="OdMhW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7" name="Picture 67" descr="MCQSx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8" name="Picture 68" descr="cTgRh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9" name="Picture 69" descr="IQbvi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0" name="Picture 70" descr="aRNMa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1" name="Picture 71" descr="nEWfB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2" name="Picture 72" descr="KphiJ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3" name="Picture 73" descr="ywSej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4" name="Picture 74" descr="bAjui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5" name="Picture 75" descr="ihOay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6" name="Picture 76" descr="Gtghz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7" name="Picture 77" descr="lqLko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8" name="Picture 78" descr="nZxAq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9" name="Picture 79" descr="RqLKj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0" name="Picture 80" descr="nATaK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1" name="Picture 81" descr="IhPIt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2" name="Picture 82" descr="PgjNM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3" name="Picture 83" descr="jXPbJ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4" name="Picture 84" descr="raKCk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5" name="Picture 85" descr="izwiG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6" name="Picture 86" descr="bVFmg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7" name="Picture 87" descr="zYUbz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8" name="Picture 88" descr="BMQAy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9" name="Picture 89" descr="vjlSQ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0" name="Picture 90" descr="tkABn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1" name="Picture 91" descr="lzZOW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2" name="Picture 92" descr="sFuUT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3" name="Picture 93" descr="ySjex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4" name="Picture 94" descr="HadKY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5" name="Picture 95" descr="TNliQ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6" name="Picture 96" descr="RcOkz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7" name="Picture 97" descr="XxvhD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8" name="Picture 98" descr="RgvRC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9" name="Picture 99" descr="geOro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0" name="Picture 100" descr="nwkIW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1" name="Picture 101" descr="nDcST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2" name="Picture 102" descr="DWKnR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3" name="Picture 103" descr="qyQKX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4" name="Picture 104" descr="DNCdz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5" name="Picture 105" descr="VBTgE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6" name="Picture 106" descr="yGlIt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7" name="Picture 107" descr="yBTrg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8" name="Picture 108" descr="PwQvg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9" name="Picture 109" descr="EHdaD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0" name="Picture 110" descr="btPIO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1" name="Picture 111" descr="sIPUB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2" name="Picture 112" descr="lOUON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3" name="Picture 113" descr="RHFBF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4" name="Picture 114" descr="pbbSx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5" name="Picture 115" descr="rcrUP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6" name="Picture 116" descr="CDTJa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7" name="Picture 117" descr="dieaM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8" name="Picture 118" descr="mSpgr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9" name="Picture 119" descr="QEmGG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0" name="Picture 120" descr="oWgPj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1" name="Picture 121" descr="ywxtL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2" name="Picture 122" descr="dnnDN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3" name="Picture 123" descr="XfDGh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4" name="Picture 124" descr="oRGje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5" name="Picture 125" descr="NPdCq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6" name="Picture 126" descr="FMBYU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7" name="Picture 127" descr="NAxeT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8" name="Picture 128" descr="XojMu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9" name="Picture 129" descr="gsfUt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0" name="Picture 130" descr="Kvwtc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1" name="Picture 131" descr="kHStP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2" name="Picture 132" descr="Vjtyp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3" name="Picture 133" descr="SVldc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4" name="Picture 134" descr="YjQSP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5" name="Picture 135" descr="uHAHU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6" name="Picture 136" descr="mGZzZ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7" name="Picture 137" descr="aTPtV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8" name="Picture 138" descr="HpoqS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9" name="Picture 139" descr="Bylnn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0" name="Picture 140" descr="JzmtL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1" name="Picture 141" descr="SsPjF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2" name="Picture 142" descr="vpQOs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3" name="Picture 143" descr="zASPg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4" name="Picture 144" descr="OKnGs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5" name="Picture 145" descr="wEtMC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6" name="Picture 146" descr="gNDzb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7" name="Picture 147" descr="Gjkrd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8" name="Picture 148" descr="qZFqH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9" name="Picture 149" descr="DOsAf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0" name="Picture 150" descr="fMcrK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1" name="Picture 151" descr="fVvfR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2" name="Picture 152" descr="lQOMh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3" name="Picture 153" descr="IfOlt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4" name="Picture 154" descr="DSnAX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5" name="Picture 155" descr="AdOeM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6" name="Picture 156" descr="ajAhn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7" name="Picture 157" descr="BDIqx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8" name="Picture 158" descr="jGXCl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9" name="Picture 159" descr="MBPxo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0" name="Picture 160" descr="fXmvO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1" name="Picture 161" descr="XZSIt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2" name="Picture 162" descr="bBjhG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3" name="Picture 163" descr="sYRkt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4" name="Picture 164" descr="Cibxa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5" name="Picture 165" descr="TnLNW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6" name="Picture 166" descr="zpqbC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7" name="Picture 167" descr="CzwQX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8" name="Picture 168" descr="vcwpY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9" name="Picture 169" descr="BLSvJ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0" name="Picture 170" descr="foSqN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1" name="Picture 171" descr="krltb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2" name="Picture 172" descr="CixJG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3" name="Picture 173" descr="yDHfx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4" name="Picture 174" descr="GvpAx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5" name="Picture 175" descr="yXpvQ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6" name="Picture 176" descr="FNyAk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7" name="Picture 177" descr="iwIbT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8" name="Picture 178" descr="pBefH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9" name="Picture 179" descr="DSWvJ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0" name="Picture 180" descr="MjKfU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1" name="Picture 181" descr="sKIHH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2" name="Picture 182" descr="jIJrB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3" name="Picture 183" descr="Anasc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4" name="Picture 184" descr="NccTz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5" name="Picture 185" descr="hFdtD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6" name="Picture 186" descr="mUYRB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7" name="Picture 187" descr="gipDd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8" name="Picture 188" descr="ytJWC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9" name="Picture 189" descr="uIrFk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0" name="Picture 190" descr="gNsjY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1" name="Picture 191" descr="OyzGQ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2" name="Picture 192" descr="RnVFz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3" name="Picture 193" descr="XwBKT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4" name="Picture 194" descr="Kgvpv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5" name="Picture 195" descr="FMeLx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6" name="Picture 196" descr="TDGqd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7" name="Picture 197" descr="ilbBC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8" name="Picture 198" descr="BGIFn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9" name="Picture 199" descr="lkYZK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0" name="Picture 200" descr="NGQQW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1" name="Picture 201" descr="oaalt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2" name="Picture 202" descr="YAtDv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3" name="Picture 203" descr="JaGvT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4" name="Picture 204" descr="ldQfl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5" name="Picture 205" descr="lSMHC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6" name="Picture 206" descr="kJvQI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7" name="Picture 207" descr="kuTOM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8" name="Picture 208" descr="KGyNS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9" name="Picture 209" descr="riCtE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0" name="Picture 210" descr="EheWP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1" name="Picture 211" descr="OXURX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2" name="Picture 212" descr="nwLrW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3" name="Picture 213" descr="GjcRs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4" name="Picture 214" descr="rsjhm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5" name="Picture 215" descr="iArIh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6" name="Picture 216" descr="QGRBN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7" name="Picture 217" descr="mfHvt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8" name="Picture 218" descr="DJKeE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9" name="Picture 219" descr="BmMxC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0" name="Picture 220" descr="jPTmD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1" name="Picture 221" descr="bHdoD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2" name="Picture 222" descr="BIpiP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3" name="Picture 223" descr="uXJDG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4" name="Picture 224" descr="ZEhIy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5" name="Picture 225" descr="uYAtt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6" name="Picture 226" descr="hjDYm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7" name="Picture 227" descr="anZLG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8" name="Picture 228" descr="lRlAs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9" name="Picture 229" descr="LaSzO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0" name="Picture 230" descr="MFoPA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1" name="Picture 231" descr="iPSlP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2" name="Picture 232" descr="inFYB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3" name="Picture 233" descr="rYItS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4" name="Picture 234" descr="KWPhn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5" name="Picture 235" descr="eKUyi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6" name="Picture 236" descr="csupH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7" name="Picture 237" descr="NFZsM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8" name="Picture 238" descr="hACoP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9" name="Picture 239" descr="EdqBY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0" name="Picture 240" descr="uXnRa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1" name="Picture 241" descr="OIbHy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2" name="Picture 242" descr="qxgXW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3" name="Picture 243" descr="sAfru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4" name="Picture 244" descr="rpWGa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5" name="Picture 245" descr="EbdCm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6" name="Picture 246" descr="asjkN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7" name="Picture 247" descr="AboeC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8" name="Picture 248" descr="ZcnUs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9" name="Picture 249" descr="sjqRt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0" name="Picture 250" descr="HPdDU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1" name="Picture 251" descr="LIzmD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2" name="Picture 252" descr="JNrGA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3" name="Picture 253" descr="NXVzt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4" name="Picture 254" descr="YBGHW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5" name="Picture 255" descr="lJCuH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6" name="Picture 256" descr="gRTeE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7" name="Picture 257" descr="vzrpg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8" name="Picture 258" descr="gZBQb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9" name="Picture 259" descr="BerQw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0" name="Picture 260" descr="zBZYX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1" name="Picture 261" descr="fmPdc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2" name="Picture 262" descr="vKCfO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3" name="Picture 263" descr="kWBNt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4" name="Picture 264" descr="cyVVw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5" name="Picture 265" descr="gerlm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6" name="Picture 266" descr="JxLMW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7" name="Picture 267" descr="qEzum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8" name="Picture 268" descr="JUvRp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9" name="Picture 269" descr="obwwU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0" name="Picture 270" descr="laTmV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1" name="Picture 271" descr="haeCA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2" name="Picture 272" descr="owRmj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3" name="Picture 273" descr="OiokB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4" name="Picture 274" descr="AsZsH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5" name="Picture 275" descr="sWWDI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6" name="Picture 276" descr="eAVxk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7" name="Picture 277" descr="sXqiN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8" name="Picture 278" descr="smBZB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9" name="Picture 279" descr="Ohcqb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0" name="Picture 280" descr="jtmDg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1" name="Picture 281" descr="hUToa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2" name="Picture 282" descr="cBHXm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3" name="Picture 283" descr="EWfRu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4" name="Picture 284" descr="BRmhw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5" name="Picture 285" descr="fnpZQ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6" name="Picture 286" descr="oKztE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7" name="Picture 287" descr="enOQp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8" name="Picture 288" descr="Ucrke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9" name="Picture 289" descr="PvVDO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0" name="Picture 290" descr="AWpxi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1" name="Picture 291" descr="oUZte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2" name="Picture 292" descr="veeCH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3" name="Picture 293" descr="ZVHxk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4" name="Picture 294" descr="DRIwT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5" name="Picture 295" descr="ueIcf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6" name="Picture 296" descr="tchru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7" name="Picture 297" descr="mZlqG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8" name="Picture 298" descr="ukaPy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9" name="Picture 299" descr="OUOGh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0" name="Picture 300" descr="dKILI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1" name="Picture 301" descr="MWIyI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2" name="Picture 302" descr="JujXK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3" name="Picture 303" descr="ofbAD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4" name="Picture 304" descr="ULAJz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5" name="Picture 305" descr="FICqi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6" name="Picture 306" descr="mLaSw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7" name="Picture 307" descr="rmRsd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8" name="Picture 308" descr="dZXeL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9" name="Picture 309" descr="uezdm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0" name="Picture 310" descr="vpPIa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1" name="Picture 311" descr="xRDOW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2" name="Picture 312" descr="CKzMv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3" name="Picture 313" descr="aAQul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4" name="Picture 314" descr="qVQTv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5" name="Picture 315" descr="JNaXJ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6" name="Picture 316" descr="KembI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7" name="Picture 317" descr="Sqzfz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8" name="Picture 318" descr="OXIXf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9" name="Picture 319" descr="kGFMx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0" name="Picture 320" descr="pLFHW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1" name="Picture 321" descr="NRcAp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2" name="Picture 322" descr="tmSwN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3" name="Picture 323" descr="spaIv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4" name="Picture 324" descr="Vyyxm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5" name="Picture 325" descr="KbErb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6" name="Picture 326" descr="KcfkP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7" name="Picture 327" descr="FhyGb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8" name="Picture 328" descr="WnYDj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9" name="Picture 329" descr="XhVos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0" name="Picture 330" descr="ChVzN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1" name="Picture 331" descr="AeUfz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2" name="Picture 332" descr="sMtXy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3" name="Picture 333" descr="tZVbD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4" name="Picture 334" descr="pvKyO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5" name="Picture 335" descr="eyuqG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6" name="Picture 336" descr="RPzLt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7" name="Picture 337" descr="dIcsV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8" name="Picture 338" descr="bXKZn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9" name="Picture 339" descr="sTPfH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0" name="Picture 340" descr="vanKi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1" name="Picture 341" descr="pbwjT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2" name="Picture 342" descr="ligoH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3" name="Picture 343" descr="kzXBi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4" name="Picture 344" descr="XtAvl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5" name="Picture 345" descr="ibKaq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6" name="Picture 346" descr="QPrQz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7" name="Picture 347" descr="iJLuF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8" name="Picture 348" descr="cNMej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9" name="Picture 349" descr="VedJh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0" name="Picture 350" descr="tSWyc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1" name="Picture 351" descr="rPBSp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2" name="Picture 352" descr="mJata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3" name="Picture 353" descr="ypAXF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4" name="Picture 354" descr="TyMqD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5" name="Picture 355" descr="lkRbz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6" name="Picture 356" descr="hNECl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7" name="Picture 357" descr="sEtwP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8" name="Picture 358" descr="Vtysr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9" name="Picture 359" descr="VUTRM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0" name="Picture 360" descr="tWvbD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1" name="Picture 361" descr="vjHJE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2" name="Picture 362" descr="jqCjV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3" name="Picture 363" descr="nVRrE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4" name="Picture 364" descr="AqgoV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5" name="Picture 365" descr="FzcMj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6" name="Picture 366" descr="ocgeF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7" name="Picture 367" descr="WYbHA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8" name="Picture 368" descr="Yeytm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9" name="Picture 369" descr="cGNTp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0" name="Picture 370" descr="GdmJZ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1" name="Picture 371" descr="ZmnDo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2" name="Picture 372" descr="VzOmm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3" name="Picture 373" descr="bpSpz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4" name="Picture 374" descr="HAYms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5" name="Picture 375" descr="Huzec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6" name="Picture 376" descr="qgexI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7" name="Picture 377" descr="sgDnM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8" name="Picture 378" descr="itCmh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9" name="Picture 379" descr="tWHQX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0" name="Picture 380" descr="ZDxgr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1" name="Picture 381" descr="pPWFU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2" name="Picture 382" descr="SAEWX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3" name="Picture 383" descr="GYOIV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4" name="Picture 384" descr="KSSam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5" name="Picture 385" descr="LitIJ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6" name="Picture 386" descr="FnUha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7" name="Picture 387" descr="WKumd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8" name="Picture 388" descr="SLXYq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9" name="Picture 389" descr="MFaQD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0" name="Picture 390" descr="FDgeE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1" name="Picture 391" descr="aRJfO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2" name="Picture 392" descr="FNshE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3" name="Picture 393" descr="eCDgS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4" name="Picture 394" descr="kiafC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5" name="Picture 395" descr="YKlEQ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6" name="Picture 396" descr="IwCBS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7" name="Picture 397" descr="qkAub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8" name="Picture 398" descr="RnWlh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9" name="Picture 399" descr="wCjUP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0" name="Picture 400" descr="qToBQ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1" name="Picture 401" descr="xDXPy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2" name="Picture 402" descr="qYJDd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3" name="Picture 403" descr="OybHr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4" name="Picture 404" descr="FGcWu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5" name="Picture 405" descr="qifvF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6" name="Picture 406" descr="OLHYc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7" name="Picture 407" descr="wRZkL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8" name="Picture 408" descr="BnRGo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9" name="Picture 409" descr="eIAZW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0" name="Picture 410" descr="dqEee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1" name="Picture 411" descr="cFTFn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2" name="Picture 412" descr="BcIzp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3" name="Picture 413" descr="LdbaQ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4" name="Picture 414" descr="rmpvb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5" name="Picture 415" descr="MimZX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6" name="Picture 416" descr="CJpaM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7" name="Picture 417" descr="lZHKA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8" name="Picture 418" descr="ZetAv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9" name="Picture 419" descr="voHSy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0" name="Picture 420" descr="YfFPI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1" name="Picture 421" descr="ITsyp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2" name="Picture 422" descr="WvWXG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3" name="Picture 423" descr="RIQDP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4" name="Picture 424" descr="gAAuE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5" name="Picture 425" descr="JumaD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6" name="Picture 426" descr="rbZvg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7" name="Picture 427" descr="SEkzm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8" name="Picture 428" descr="nCMHg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9" name="Picture 429" descr="dtMIY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0" name="Picture 430" descr="okUix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1" name="Picture 431" descr="POVdM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2" name="Picture 432" descr="pBTtP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3" name="Picture 433" descr="Nvaml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4" name="Picture 434" descr="DlNHH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5" name="Picture 435" descr="lTBRb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6" name="Picture 436" descr="uIzXJ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7" name="Picture 437" descr="kGRfb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8" name="Picture 438" descr="RHagU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9" name="Picture 439" descr="uTvUJ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0" name="Picture 440" descr="bVIqr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1" name="Picture 441" descr="DmUxJ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2" name="Picture 442" descr="iKkou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3" name="Picture 443" descr="emHAd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4" name="Picture 444" descr="VrGte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5" name="Picture 445" descr="RpJtp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6" name="Picture 446" descr="nBBiD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7" name="Picture 447" descr="CRgkO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8" name="Picture 448" descr="alPcu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9" name="Picture 449" descr="HtaTL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0" name="Picture 450" descr="bScVS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1" name="Picture 451" descr="QBRnj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2" name="Picture 452" descr="UViXJ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3" name="Picture 453" descr="kYkBi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4" name="Picture 454" descr="EoLFi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5" name="Picture 455" descr="AsSQH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6" name="Picture 456" descr="zRbvj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7" name="Picture 457" descr="TuTIE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8" name="Picture 458" descr="mHBGb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9" name="Picture 459" descr="HoPrh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0" name="Picture 460" descr="syuhZ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1" name="Picture 461" descr="tqfXL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2" name="Picture 462" descr="Zikvk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3" name="Picture 463" descr="YJqCn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4" name="Picture 464" descr="gkoOi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5" name="Picture 465" descr="RAWft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6" name="Picture 466" descr="pnXmG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7" name="Picture 467" descr="cDFcb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8" name="Picture 468" descr="PCVSp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9" name="Picture 469" descr="UqWET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0" name="Picture 470" descr="HjJxn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1" name="Picture 471" descr="rkNfm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2" name="Picture 472" descr="XgMgKz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3" name="Picture 473" descr="civcrY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4" name="Picture 474" descr="KhgWlO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5" name="Picture 475" descr="PGeOYm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6" name="Picture 476" descr="hfjpSX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5</xdr:col>
      <xdr:colOff>0</xdr:colOff>
      <xdr:row>2</xdr:row>
      <xdr:rowOff>114300</xdr:rowOff>
    </xdr:from>
    <xdr:to>
      <xdr:col>5</xdr:col>
      <xdr:colOff>9525</xdr:colOff>
      <xdr:row>2</xdr:row>
      <xdr:rowOff>123825</xdr:rowOff>
    </xdr:to>
    <xdr:pic>
      <xdr:nvPicPr>
        <xdr:cNvPr id="477" name="Picture 477" descr="KFqtYB"/>
        <xdr:cNvPicPr/>
      </xdr:nvPicPr>
      <xdr:blipFill>
        <a:blip r:embed="rId3"/>
        <a:stretch>
          <a:fillRect/>
        </a:stretch>
      </xdr:blipFill>
      <xdr:spPr>
        <a:xfrm>
          <a:off x="4200525" y="105410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8" name="Picture 478" descr="yiCTlM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9" name="Picture 479" descr="tWqHyU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0" name="Picture 480" descr="SbATla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1" name="Picture 481" descr="FaDSrQ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2" name="Picture 482" descr="WBfhmM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3" name="Picture 483" descr="nTqXgY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4" name="Picture 484" descr="LdYjdr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5" name="Picture 485" descr="ttJwxV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6" name="Picture 486" descr="cdEXVE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7</xdr:col>
      <xdr:colOff>819150</xdr:colOff>
      <xdr:row>1</xdr:row>
      <xdr:rowOff>66675</xdr:rowOff>
    </xdr:from>
    <xdr:to>
      <xdr:col>7</xdr:col>
      <xdr:colOff>828675</xdr:colOff>
      <xdr:row>1</xdr:row>
      <xdr:rowOff>76200</xdr:rowOff>
    </xdr:to>
    <xdr:pic>
      <xdr:nvPicPr>
        <xdr:cNvPr id="487" name="Picture 487" descr="lpYFRl"/>
        <xdr:cNvPicPr/>
      </xdr:nvPicPr>
      <xdr:blipFill>
        <a:blip r:embed="rId3"/>
        <a:stretch>
          <a:fillRect/>
        </a:stretch>
      </xdr:blipFill>
      <xdr:spPr>
        <a:xfrm>
          <a:off x="6600825" y="549275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8" name="Picture 488" descr="dSGayL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9" name="Picture 489" descr="NWRuSy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2" name="Picture 2" descr="hsbugn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3" name="Picture 3" descr="YwEVFI"/>
        <xdr:cNvPicPr/>
      </xdr:nvPicPr>
      <xdr:blipFill>
        <a:blip r:embed="rId1"/>
        <a:stretch>
          <a:fillRect/>
        </a:stretch>
      </xdr:blipFill>
      <xdr:spPr>
        <a:xfrm>
          <a:off x="0" y="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" name="Picture 4" descr="jgImX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" name="Picture 5" descr="mtzUV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" name="Picture 6" descr="uzjMc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" name="Picture 7" descr="PxyEX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" name="Picture 8" descr="iszEf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" name="Picture 9" descr="GtIZw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" name="Picture 10" descr="gCcKU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" name="Picture 11" descr="aaHdA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" name="Picture 12" descr="oFjmm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" name="Picture 13" descr="gADpt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" name="Picture 14" descr="VizRM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" name="Picture 15" descr="yxWWN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" name="Picture 16" descr="kQRIV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" name="Picture 17" descr="cNOWv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" name="Picture 18" descr="fSJbM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" name="Picture 19" descr="ucgHg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" name="Picture 20" descr="NGGYw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" name="Picture 21" descr="cqeYR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" name="Picture 22" descr="lmwrA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" name="Picture 23" descr="zwRUs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" name="Picture 24" descr="dkIWj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" name="Picture 25" descr="LfgaE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" name="Picture 26" descr="PaWVT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" name="Picture 27" descr="aNBWE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" name="Picture 28" descr="XCmfL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" name="Picture 29" descr="pOJnI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" name="Picture 30" descr="hWamS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" name="Picture 31" descr="EqEdk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" name="Picture 32" descr="RjdYy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" name="Picture 33" descr="uXUpU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" name="Picture 34" descr="NcRcd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" name="Picture 35" descr="WxyXH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" name="Picture 36" descr="odukz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" name="Picture 37" descr="zEWVv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" name="Picture 38" descr="yxvub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" name="Picture 39" descr="CkSVW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" name="Picture 40" descr="GfTxU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" name="Picture 41" descr="TtdZn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" name="Picture 42" descr="ZhnIc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" name="Picture 43" descr="bLHWO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" name="Picture 44" descr="knUgU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" name="Picture 45" descr="PJoWN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" name="Picture 46" descr="YNhpL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7" name="Picture 47" descr="svmxZ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8" name="Picture 48" descr="YsIco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9" name="Picture 49" descr="VBSIe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0" name="Picture 50" descr="eidGb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1" name="Picture 51" descr="KNCvF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2" name="Picture 52" descr="NwnNT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3" name="Picture 53" descr="SActl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4" name="Picture 54" descr="alUAt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5" name="Picture 55" descr="KFmTt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6" name="Picture 56" descr="GAZHc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7" name="Picture 57" descr="jXNwZ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8" name="Picture 58" descr="hGzPw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59" name="Picture 59" descr="riUZS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0" name="Picture 60" descr="IRMhH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1" name="Picture 61" descr="IOsZS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2" name="Picture 62" descr="RDcdi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3" name="Picture 63" descr="mYjiN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4" name="Picture 64" descr="Qeqmq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5" name="Picture 65" descr="UCiWg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6" name="Picture 66" descr="PGDnu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7" name="Picture 67" descr="sXUzt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8" name="Picture 68" descr="YbNrP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69" name="Picture 69" descr="EtUGF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0" name="Picture 70" descr="RFQFO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1" name="Picture 71" descr="YturH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2" name="Picture 72" descr="MAbQf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3" name="Picture 73" descr="CyoUK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4" name="Picture 74" descr="GfCXo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5" name="Picture 75" descr="IIisr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6" name="Picture 76" descr="ytExu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7" name="Picture 77" descr="USnHY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8" name="Picture 78" descr="kRerF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79" name="Picture 79" descr="sLfLo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0" name="Picture 80" descr="DfKCb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1" name="Picture 81" descr="bZnkV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2" name="Picture 82" descr="dtYvL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3" name="Picture 83" descr="IEPJw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4" name="Picture 84" descr="asTRR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5" name="Picture 85" descr="VwxtN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6" name="Picture 86" descr="zyLoY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7" name="Picture 87" descr="AXqHF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8" name="Picture 88" descr="xtPfb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89" name="Picture 89" descr="LVIte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0" name="Picture 90" descr="dEufd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1" name="Picture 91" descr="amgdH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2" name="Picture 92" descr="EeBIF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3" name="Picture 93" descr="rtlyN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4" name="Picture 94" descr="dwHyt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5" name="Picture 95" descr="yaTMR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6" name="Picture 96" descr="UoVaK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7" name="Picture 97" descr="VSKLi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8" name="Picture 98" descr="fPedX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99" name="Picture 99" descr="onwEK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0" name="Picture 100" descr="HEkkM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1" name="Picture 101" descr="GwQnB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2" name="Picture 102" descr="ssjar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3" name="Picture 103" descr="UIiKa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4" name="Picture 104" descr="EuSyF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5" name="Picture 105" descr="jbLqe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6" name="Picture 106" descr="Ewjhk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7" name="Picture 107" descr="tmLbq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8" name="Picture 108" descr="yAyKD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09" name="Picture 109" descr="NyYql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0" name="Picture 110" descr="wWmDe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1" name="Picture 111" descr="ynuRq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2" name="Picture 112" descr="auPab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3" name="Picture 113" descr="sHkKQ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4" name="Picture 114" descr="BVdKJ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5" name="Picture 115" descr="ZdCqw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6" name="Picture 116" descr="cOKVS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7" name="Picture 117" descr="ytODL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8" name="Picture 118" descr="yiYTX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19" name="Picture 119" descr="mQiSI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0" name="Picture 120" descr="kIZPS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1" name="Picture 121" descr="FfVGr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2" name="Picture 122" descr="bxKAQ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3" name="Picture 123" descr="LLCGi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4" name="Picture 124" descr="MemMF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5" name="Picture 125" descr="qTjmE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6" name="Picture 126" descr="YNihZ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7" name="Picture 127" descr="XLmap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8" name="Picture 128" descr="KnfMc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29" name="Picture 129" descr="WuOmy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0" name="Picture 130" descr="eJvgJ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1" name="Picture 131" descr="uxAzK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2" name="Picture 132" descr="LCnfC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3" name="Picture 133" descr="nxkdU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4" name="Picture 134" descr="lwgFN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5" name="Picture 135" descr="NSrVH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6" name="Picture 136" descr="mZOaL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7" name="Picture 137" descr="OxwYR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8" name="Picture 138" descr="rGRQp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39" name="Picture 139" descr="GlTzs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0" name="Picture 140" descr="gyySW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1" name="Picture 141" descr="ByXOo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2" name="Picture 142" descr="DDEAS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3" name="Picture 143" descr="UJaVx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4" name="Picture 144" descr="nAMWM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5" name="Picture 145" descr="ixEBL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6" name="Picture 146" descr="ZBpVV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7" name="Picture 147" descr="lcNzI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8" name="Picture 148" descr="FJDgg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49" name="Picture 149" descr="tAznw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0" name="Picture 150" descr="eBEcm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1" name="Picture 151" descr="kKtId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2" name="Picture 152" descr="HxbVk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3" name="Picture 153" descr="HdEoo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4" name="Picture 154" descr="vXjQR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5" name="Picture 155" descr="KlkqZ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6" name="Picture 156" descr="xqNLg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7" name="Picture 157" descr="QXYac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8" name="Picture 158" descr="nkUHd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59" name="Picture 159" descr="AXJaL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0" name="Picture 160" descr="fbXwF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1" name="Picture 161" descr="VHXOV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2" name="Picture 162" descr="KAyQt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3" name="Picture 163" descr="rCccN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4" name="Picture 164" descr="VLkwA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5" name="Picture 165" descr="yzVBx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6" name="Picture 166" descr="jMWqb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7" name="Picture 167" descr="zhjEn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8" name="Picture 168" descr="NLEGk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69" name="Picture 169" descr="NJKbw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0" name="Picture 170" descr="NMtkA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1" name="Picture 171" descr="GvbOU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2" name="Picture 172" descr="uANrE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3" name="Picture 173" descr="YDUoG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4" name="Picture 174" descr="vFWkR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5" name="Picture 175" descr="CHmHG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6" name="Picture 176" descr="dsrfP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7" name="Picture 177" descr="mjzSa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8" name="Picture 178" descr="bwVce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79" name="Picture 179" descr="ReHpN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0" name="Picture 180" descr="vfQTE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1" name="Picture 181" descr="wkfze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2" name="Picture 182" descr="dMpbk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3" name="Picture 183" descr="NUySc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4" name="Picture 184" descr="jzNwVq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5" name="Picture 185" descr="KsDBp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6" name="Picture 186" descr="zuOYt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7" name="Picture 187" descr="rNoRtD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8" name="Picture 188" descr="wtVlT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89" name="Picture 189" descr="WVEci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0" name="Picture 190" descr="faJRR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1" name="Picture 191" descr="Rrltj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2" name="Picture 192" descr="mxtsf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3" name="Picture 193" descr="umdJUi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4" name="Picture 194" descr="tZdFB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5" name="Picture 195" descr="lAfnZ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6" name="Picture 196" descr="qmsdx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7" name="Picture 197" descr="AYbfxn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8" name="Picture 198" descr="gfLsrM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199" name="Picture 199" descr="FWJzbJ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0" name="Picture 200" descr="RIZhs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1" name="Picture 201" descr="HGMjA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2" name="Picture 202" descr="TpNGMc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3" name="Picture 203" descr="auMxM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4" name="Picture 204" descr="nAuIkK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5" name="Picture 205" descr="GqwYb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6" name="Picture 206" descr="bPYjX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7" name="Picture 207" descr="ZAqTj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8" name="Picture 208" descr="eoXEE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09" name="Picture 209" descr="JNIuY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0" name="Picture 210" descr="fQWYP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1" name="Picture 211" descr="ATNwR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2" name="Picture 212" descr="ycRvB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3" name="Picture 213" descr="EQzeM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4" name="Picture 214" descr="DffYtB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5" name="Picture 215" descr="DYXtY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6" name="Picture 216" descr="BbXio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7" name="Picture 217" descr="TWLev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8" name="Picture 218" descr="cdPoIF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19" name="Picture 219" descr="peVVz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0" name="Picture 220" descr="wdQLb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1" name="Picture 221" descr="ytVFJ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2" name="Picture 222" descr="yXzKst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3" name="Picture 223" descr="vDHMXo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4" name="Picture 224" descr="lrTtns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5" name="Picture 225" descr="YbQHtY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6" name="Picture 226" descr="vUEGZl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7" name="Picture 227" descr="xcflw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8" name="Picture 228" descr="whFCx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29" name="Picture 229" descr="morQl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0" name="Picture 230" descr="Utmzh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1" name="Picture 231" descr="ItBxda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2" name="Picture 232" descr="HqKuP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3" name="Picture 233" descr="zfIJb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4" name="Picture 234" descr="oghIAz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5" name="Picture 235" descr="utklGw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6" name="Picture 236" descr="WgeKO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7" name="Picture 237" descr="tXwaye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8" name="Picture 238" descr="JUutNV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39" name="Picture 239" descr="mNPMQU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0" name="Picture 240" descr="qhyeBx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1" name="Picture 241" descr="yIYOfR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2" name="Picture 242" descr="XYkZop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3" name="Picture 243" descr="VCtLFg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4" name="Picture 244" descr="RlwhSh"/>
        <xdr:cNvPicPr/>
      </xdr:nvPicPr>
      <xdr:blipFill>
        <a:blip r:embed="rId1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5" name="Picture 245" descr="KRLEE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6" name="Picture 246" descr="sAsOi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7" name="Picture 247" descr="Qcfjk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8" name="Picture 248" descr="NYepw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49" name="Picture 249" descr="UUxti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0" name="Picture 250" descr="sENIf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1" name="Picture 251" descr="HgGFt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2" name="Picture 252" descr="ZhLVL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3" name="Picture 253" descr="eRIIM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4" name="Picture 254" descr="xOAob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5" name="Picture 255" descr="ptnQG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6" name="Picture 256" descr="izUmL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7" name="Picture 257" descr="DRqNO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8" name="Picture 258" descr="MTZDs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59" name="Picture 259" descr="aaTZN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0" name="Picture 260" descr="JTaPZ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1" name="Picture 261" descr="Seiba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2" name="Picture 262" descr="fMHsm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3" name="Picture 263" descr="YgIAT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4" name="Picture 264" descr="wZisJ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5" name="Picture 265" descr="FWgiz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6" name="Picture 266" descr="jbWVw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7" name="Picture 267" descr="VTyvQ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8" name="Picture 268" descr="MRAFK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69" name="Picture 269" descr="RmZPA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0" name="Picture 270" descr="RbDJF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1" name="Picture 271" descr="JgKrH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2" name="Picture 272" descr="zFjyt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3" name="Picture 273" descr="KQrLb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4" name="Picture 274" descr="YXSJf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5" name="Picture 275" descr="DiXtg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6" name="Picture 276" descr="zJNVb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7" name="Picture 277" descr="hJsAw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8" name="Picture 278" descr="NDLBz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79" name="Picture 279" descr="TdwjL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0" name="Picture 280" descr="QrgEk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1" name="Picture 281" descr="WbdNa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2" name="Picture 282" descr="TkhbY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3" name="Picture 283" descr="sCtZx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4" name="Picture 284" descr="nAsKG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5" name="Picture 285" descr="QBueg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6" name="Picture 286" descr="XmsDj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7" name="Picture 287" descr="egNnz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8" name="Picture 288" descr="mGFLW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89" name="Picture 289" descr="REbMx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0" name="Picture 290" descr="RqEpv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1" name="Picture 291" descr="tmobs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2" name="Picture 292" descr="aBqDY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3" name="Picture 293" descr="eZIgT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4" name="Picture 294" descr="mRiYD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5" name="Picture 295" descr="CBAYL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6" name="Picture 296" descr="xqVoV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7" name="Picture 297" descr="fJxUN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8" name="Picture 298" descr="HlTfW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299" name="Picture 299" descr="WvPKI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0" name="Picture 300" descr="ajvYv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1" name="Picture 301" descr="baZJG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2" name="Picture 302" descr="hVtqa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3" name="Picture 303" descr="rIQzA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4" name="Picture 304" descr="hUyMZ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5" name="Picture 305" descr="lDmde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6" name="Picture 306" descr="bhBQc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7" name="Picture 307" descr="gcreW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8" name="Picture 308" descr="uOlRC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09" name="Picture 309" descr="nYZug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0" name="Picture 310" descr="PtAnr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1" name="Picture 311" descr="xgJga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2" name="Picture 312" descr="EzplR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3" name="Picture 313" descr="XoDEn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4" name="Picture 314" descr="HpnST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5" name="Picture 315" descr="zFMXB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6" name="Picture 316" descr="kKNib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7" name="Picture 317" descr="XiIwp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8" name="Picture 318" descr="bOyXx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19" name="Picture 319" descr="TFPpl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0" name="Picture 320" descr="ovgye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1" name="Picture 321" descr="Pehpv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2" name="Picture 322" descr="tbcco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3" name="Picture 323" descr="mwZmo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4" name="Picture 324" descr="UVOBr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5" name="Picture 325" descr="yWfmn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6" name="Picture 326" descr="yjdpl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7" name="Picture 327" descr="owfyR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8" name="Picture 328" descr="nwfxq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29" name="Picture 329" descr="Qvnuc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0" name="Picture 330" descr="CukKs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1" name="Picture 331" descr="vbpkn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2" name="Picture 332" descr="JSIFE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3" name="Picture 333" descr="nIVyC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4" name="Picture 334" descr="nvuzn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5" name="Picture 335" descr="MLYZB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6" name="Picture 336" descr="OQnfx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7" name="Picture 337" descr="xQSem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8" name="Picture 338" descr="YsOBZ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39" name="Picture 339" descr="leGik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0" name="Picture 340" descr="vrgTn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1" name="Picture 341" descr="TcwVX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2" name="Picture 342" descr="oWQex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3" name="Picture 343" descr="Lmlul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4" name="Picture 344" descr="Wtkph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5" name="Picture 345" descr="RAFZS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6" name="Picture 346" descr="IgINF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7" name="Picture 347" descr="zYMbK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8" name="Picture 348" descr="ptvwt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49" name="Picture 349" descr="JPOmk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0" name="Picture 350" descr="IUcJW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1" name="Picture 351" descr="EwPPr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2" name="Picture 352" descr="llSNj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3" name="Picture 353" descr="QyQIl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4" name="Picture 354" descr="NGlVH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5" name="Picture 355" descr="dDFpH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6" name="Picture 356" descr="MianX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7" name="Picture 357" descr="xKOyL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8" name="Picture 358" descr="YvJPE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59" name="Picture 359" descr="HZwHu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0" name="Picture 360" descr="VTotF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1" name="Picture 361" descr="JlslA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2" name="Picture 362" descr="VUpfj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3" name="Picture 363" descr="ZXNkh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4" name="Picture 364" descr="gYveH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5" name="Picture 365" descr="bkEZp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6" name="Picture 366" descr="lJUyn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7" name="Picture 367" descr="KEspy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8" name="Picture 368" descr="yjxmt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69" name="Picture 369" descr="paxvc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0" name="Picture 370" descr="AKiyo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1" name="Picture 371" descr="veXDS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2" name="Picture 372" descr="dwfZN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3" name="Picture 373" descr="eSoZx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4" name="Picture 374" descr="ZaGhh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5" name="Picture 375" descr="hCMvd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6" name="Picture 376" descr="kWqUW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7" name="Picture 377" descr="QMjxq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8" name="Picture 378" descr="pnzFj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79" name="Picture 379" descr="ApAAX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0" name="Picture 380" descr="lhIjx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1" name="Picture 381" descr="lUYVW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2" name="Picture 382" descr="GWacg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3" name="Picture 383" descr="pHpfV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4" name="Picture 384" descr="ETkEd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5" name="Picture 385" descr="pZYNE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6" name="Picture 386" descr="OGvnI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7" name="Picture 387" descr="tUkGA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8" name="Picture 388" descr="UClzA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89" name="Picture 389" descr="BZqBH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0" name="Picture 390" descr="EAATP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1" name="Picture 391" descr="pKIPv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2" name="Picture 392" descr="GAsOC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3" name="Picture 393" descr="MKhGX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4" name="Picture 394" descr="nyCTW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5" name="Picture 395" descr="AwoRv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6" name="Picture 396" descr="DayGv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7" name="Picture 397" descr="dOzIA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8" name="Picture 398" descr="wRWQt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399" name="Picture 399" descr="tviHn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0" name="Picture 400" descr="DfhSo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1" name="Picture 401" descr="gknKJ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2" name="Picture 402" descr="GZTYu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3" name="Picture 403" descr="mvWUn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4" name="Picture 404" descr="iVexa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5" name="Picture 405" descr="VCcVi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6" name="Picture 406" descr="BQFVR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7" name="Picture 407" descr="wBvxn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8" name="Picture 408" descr="pSPSD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09" name="Picture 409" descr="rdbTQ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0" name="Picture 410" descr="WVkbE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1" name="Picture 411" descr="oejLz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2" name="Picture 412" descr="fnquK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3" name="Picture 413" descr="EdANv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4" name="Picture 414" descr="erHvh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5" name="Picture 415" descr="ZJqpD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6" name="Picture 416" descr="MNNhc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7" name="Picture 417" descr="cEuQhh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8" name="Picture 418" descr="kmxpp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19" name="Picture 419" descr="ayPxXF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0" name="Picture 420" descr="xDwXu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1" name="Picture 421" descr="ysKSX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2" name="Picture 422" descr="SMAAE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3" name="Picture 423" descr="pJOUR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4" name="Picture 424" descr="jYpce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5" name="Picture 425" descr="gSrZk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6" name="Picture 426" descr="fVGSg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7" name="Picture 427" descr="RviJl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8" name="Picture 428" descr="busWI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29" name="Picture 429" descr="OLiKrA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0" name="Picture 430" descr="WvAfu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1" name="Picture 431" descr="ehJYS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2" name="Picture 432" descr="WGgIe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3" name="Picture 433" descr="fkuCJr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4" name="Picture 434" descr="qNWwa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5" name="Picture 435" descr="WxeZB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6" name="Picture 436" descr="yBqoK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7" name="Picture 437" descr="wMwvG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8" name="Picture 438" descr="MBxhr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39" name="Picture 439" descr="LxnbBd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0" name="Picture 440" descr="CKMgh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1" name="Picture 441" descr="osAJw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2" name="Picture 442" descr="zoHAKw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3" name="Picture 443" descr="HOKPx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4" name="Picture 444" descr="VfshQ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5" name="Picture 445" descr="rkeOu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6" name="Picture 446" descr="PHNnjI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7" name="Picture 447" descr="zTdRoy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8" name="Picture 448" descr="eTVZwG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49" name="Picture 449" descr="YDFgsx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0" name="Picture 450" descr="amMKq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1" name="Picture 451" descr="RQKgb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2" name="Picture 452" descr="SXvOr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3" name="Picture 453" descr="FyfhhB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4" name="Picture 454" descr="fuKinn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5" name="Picture 455" descr="QDgiR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6" name="Picture 456" descr="pkoTW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7" name="Picture 457" descr="QNzfAQ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8" name="Picture 458" descr="nKEsdO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59" name="Picture 459" descr="OVJpg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0" name="Picture 460" descr="pOmYSK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1" name="Picture 461" descr="xayCIs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0</xdr:colOff>
      <xdr:row>0</xdr:row>
      <xdr:rowOff>9525</xdr:rowOff>
    </xdr:to>
    <xdr:pic>
      <xdr:nvPicPr>
        <xdr:cNvPr id="462" name="Picture 462" descr="jomWPU"/>
        <xdr:cNvPicPr/>
      </xdr:nvPicPr>
      <xdr:blipFill>
        <a:blip r:embed="rId2"/>
        <a:stretch>
          <a:fillRect/>
        </a:stretch>
      </xdr:blipFill>
      <xdr:spPr>
        <a:xfrm>
          <a:off x="0" y="95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3" name="Picture 463" descr="DdDbsj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4" name="Picture 464" descr="cpdNIz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5" name="Picture 465" descr="mGEuHe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6" name="Picture 466" descr="GvKdUC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7" name="Picture 467" descr="JKipMp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8" name="Picture 468" descr="KpjIBm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69" name="Picture 469" descr="VqAHkl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0" name="Picture 470" descr="vuqDPt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1" name="Picture 471" descr="aLmoVV"/>
        <xdr:cNvPicPr/>
      </xdr:nvPicPr>
      <xdr:blipFill>
        <a:blip r:embed="rId2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2" name="Picture 472" descr="aeSqYC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3" name="Picture 473" descr="VpjJVI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4" name="Picture 474" descr="kMBEKi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5" name="Picture 475" descr="nSBCfj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6" name="Picture 476" descr="yCetDo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6</xdr:col>
      <xdr:colOff>0</xdr:colOff>
      <xdr:row>3</xdr:row>
      <xdr:rowOff>114300</xdr:rowOff>
    </xdr:from>
    <xdr:to>
      <xdr:col>6</xdr:col>
      <xdr:colOff>9525</xdr:colOff>
      <xdr:row>3</xdr:row>
      <xdr:rowOff>123825</xdr:rowOff>
    </xdr:to>
    <xdr:pic>
      <xdr:nvPicPr>
        <xdr:cNvPr id="477" name="Picture 477" descr="QEmPBd"/>
        <xdr:cNvPicPr/>
      </xdr:nvPicPr>
      <xdr:blipFill>
        <a:blip r:embed="rId3"/>
        <a:stretch>
          <a:fillRect/>
        </a:stretch>
      </xdr:blipFill>
      <xdr:spPr>
        <a:xfrm>
          <a:off x="5467350" y="118110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8" name="Picture 478" descr="GxMRjL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79" name="Picture 479" descr="pAFrVf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0" name="Picture 480" descr="RdKYXb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1" name="Picture 481" descr="vMxgnN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2" name="Picture 482" descr="Yxdvjt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3" name="Picture 483" descr="vOoNED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4" name="Picture 484" descr="BGECej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5" name="Picture 485" descr="qgXNQr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6" name="Picture 486" descr="MYbnge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8</xdr:col>
      <xdr:colOff>819150</xdr:colOff>
      <xdr:row>2</xdr:row>
      <xdr:rowOff>66675</xdr:rowOff>
    </xdr:from>
    <xdr:to>
      <xdr:col>8</xdr:col>
      <xdr:colOff>828675</xdr:colOff>
      <xdr:row>2</xdr:row>
      <xdr:rowOff>76200</xdr:rowOff>
    </xdr:to>
    <xdr:pic>
      <xdr:nvPicPr>
        <xdr:cNvPr id="487" name="Picture 487" descr="YkUUdS"/>
        <xdr:cNvPicPr/>
      </xdr:nvPicPr>
      <xdr:blipFill>
        <a:blip r:embed="rId3"/>
        <a:stretch>
          <a:fillRect/>
        </a:stretch>
      </xdr:blipFill>
      <xdr:spPr>
        <a:xfrm>
          <a:off x="7867650" y="765175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8" name="Picture 488" descr="FdTuWM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0</xdr:row>
      <xdr:rowOff>9525</xdr:rowOff>
    </xdr:from>
    <xdr:to>
      <xdr:col>0</xdr:col>
      <xdr:colOff>9525</xdr:colOff>
      <xdr:row>0</xdr:row>
      <xdr:rowOff>19050</xdr:rowOff>
    </xdr:to>
    <xdr:pic>
      <xdr:nvPicPr>
        <xdr:cNvPr id="489" name="Picture 489" descr="rsyJgS"/>
        <xdr:cNvPicPr/>
      </xdr:nvPicPr>
      <xdr:blipFill>
        <a:blip r:embed="rId3"/>
        <a:stretch>
          <a:fillRect/>
        </a:stretch>
      </xdr:blipFill>
      <xdr:spPr>
        <a:xfrm>
          <a:off x="0" y="9525"/>
          <a:ext cx="9525" cy="9525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9525</xdr:rowOff>
    </xdr:to>
    <xdr:pic>
      <xdr:nvPicPr>
        <xdr:cNvPr id="2" name="Picture 2" descr="SrVHoo"/>
        <xdr:cNvPicPr/>
      </xdr:nvPicPr>
      <xdr:blipFill>
        <a:blip r:embed="rId1"/>
        <a:stretch>
          <a:fillRect/>
        </a:stretch>
      </xdr:blipFill>
      <xdr:spPr>
        <a:xfrm>
          <a:off x="0" y="48260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9525</xdr:rowOff>
    </xdr:to>
    <xdr:pic>
      <xdr:nvPicPr>
        <xdr:cNvPr id="3" name="Picture 3" descr="xZTqAe"/>
        <xdr:cNvPicPr/>
      </xdr:nvPicPr>
      <xdr:blipFill>
        <a:blip r:embed="rId1"/>
        <a:stretch>
          <a:fillRect/>
        </a:stretch>
      </xdr:blipFill>
      <xdr:spPr>
        <a:xfrm>
          <a:off x="0" y="482600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" name="Picture 4" descr="qbsiJ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" name="Picture 5" descr="VVBwj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" name="Picture 6" descr="GLTgL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" name="Picture 7" descr="cFyegl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" name="Picture 8" descr="UQlIH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" name="Picture 9" descr="MFCrD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" name="Picture 10" descr="tvCHh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" name="Picture 11" descr="yEsck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" name="Picture 12" descr="ojlAMV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" name="Picture 13" descr="vXyZd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" name="Picture 14" descr="IFfFZi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" name="Picture 15" descr="dhshI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" name="Picture 16" descr="pSjmP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" name="Picture 17" descr="BRIVN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" name="Picture 18" descr="VOnAW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" name="Picture 19" descr="sMKqL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" name="Picture 20" descr="VOYBA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" name="Picture 21" descr="VjbSh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" name="Picture 22" descr="aafnzW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" name="Picture 23" descr="UEBtYQ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" name="Picture 24" descr="qiHTw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" name="Picture 25" descr="eRCCKw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" name="Picture 26" descr="CfSwdx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" name="Picture 27" descr="VRCcQ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" name="Picture 28" descr="QrFqa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" name="Picture 29" descr="SjkNmx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" name="Picture 30" descr="sahpI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" name="Picture 31" descr="QgVIE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" name="Picture 32" descr="KKGFR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" name="Picture 33" descr="JCNUb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" name="Picture 34" descr="TEjcx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" name="Picture 35" descr="MurgX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" name="Picture 36" descr="XzWeu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" name="Picture 37" descr="HHeJf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" name="Picture 38" descr="MGwooI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" name="Picture 39" descr="ItlhpM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" name="Picture 40" descr="LCrgac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" name="Picture 41" descr="AhYUCm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" name="Picture 42" descr="luUbtQ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" name="Picture 43" descr="oMpOew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" name="Picture 44" descr="PMmjL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" name="Picture 45" descr="kayMo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6" name="Picture 46" descr="uczLV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7" name="Picture 47" descr="CYiqpx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8" name="Picture 48" descr="bMLBBW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9" name="Picture 49" descr="HBGiqc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0" name="Picture 50" descr="rfNUT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1" name="Picture 51" descr="OWBdSM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2" name="Picture 52" descr="cZdqj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3" name="Picture 53" descr="iIViW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4" name="Picture 54" descr="JyaOQ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5" name="Picture 55" descr="FFiDx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6" name="Picture 56" descr="GrVKtQ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7" name="Picture 57" descr="ZHmHq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8" name="Picture 58" descr="YdIALv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59" name="Picture 59" descr="suMYSo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0" name="Picture 60" descr="nzcgY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1" name="Picture 61" descr="hMWNR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2" name="Picture 62" descr="vqEJX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3" name="Picture 63" descr="tpbjb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4" name="Picture 64" descr="MpxESo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5" name="Picture 65" descr="SEfSe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6" name="Picture 66" descr="oISCri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7" name="Picture 67" descr="VPCKK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8" name="Picture 68" descr="dSzCp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69" name="Picture 69" descr="MQaFE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0" name="Picture 70" descr="OOzDz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1" name="Picture 71" descr="VXIJax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2" name="Picture 72" descr="MRUhhl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3" name="Picture 73" descr="PHqFp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4" name="Picture 74" descr="basSM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5" name="Picture 75" descr="IYnFz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6" name="Picture 76" descr="LluWKn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7" name="Picture 77" descr="tHIpy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8" name="Picture 78" descr="fdHozv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79" name="Picture 79" descr="BkwDj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0" name="Picture 80" descr="FgUwK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1" name="Picture 81" descr="wHihJ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2" name="Picture 82" descr="TqoKQQ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3" name="Picture 83" descr="VAMFMN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4" name="Picture 84" descr="kRVVj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5" name="Picture 85" descr="cqQET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6" name="Picture 86" descr="JxTKQU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7" name="Picture 87" descr="DpANY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8" name="Picture 88" descr="jHIrov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89" name="Picture 89" descr="YeAwg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0" name="Picture 90" descr="yCTwP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1" name="Picture 91" descr="rUXgv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2" name="Picture 92" descr="ZNlJq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3" name="Picture 93" descr="YgAMK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4" name="Picture 94" descr="DWJeI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5" name="Picture 95" descr="xRbXd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6" name="Picture 96" descr="QRZcK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7" name="Picture 97" descr="juViBi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8" name="Picture 98" descr="bAJHYL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99" name="Picture 99" descr="clTLLI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0" name="Picture 100" descr="TrLczO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1" name="Picture 101" descr="vdvzL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2" name="Picture 102" descr="xKjyq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3" name="Picture 103" descr="cKVvKW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4" name="Picture 104" descr="OjvNn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5" name="Picture 105" descr="cLqGkn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6" name="Picture 106" descr="iveIL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7" name="Picture 107" descr="NZroYq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8" name="Picture 108" descr="NCitu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09" name="Picture 109" descr="WxuAY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0" name="Picture 110" descr="mhTXx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1" name="Picture 111" descr="lamRR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2" name="Picture 112" descr="Kspouo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3" name="Picture 113" descr="qYCoVN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4" name="Picture 114" descr="yKqNr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5" name="Picture 115" descr="lniUu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6" name="Picture 116" descr="nCMnGq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7" name="Picture 117" descr="kRqVG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8" name="Picture 118" descr="Gldxf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19" name="Picture 119" descr="uMOpA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0" name="Picture 120" descr="zGGUo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1" name="Picture 121" descr="NuPJMw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2" name="Picture 122" descr="NhZWb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3" name="Picture 123" descr="xaRMr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4" name="Picture 124" descr="ktCdDX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5" name="Picture 125" descr="uAmmC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6" name="Picture 126" descr="iqxYMu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7" name="Picture 127" descr="fNHLo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8" name="Picture 128" descr="hMIZf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29" name="Picture 129" descr="FDePhW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0" name="Picture 130" descr="mETnG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1" name="Picture 131" descr="DluQNC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2" name="Picture 132" descr="bHCyY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3" name="Picture 133" descr="glSQn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4" name="Picture 134" descr="UAAnZC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5" name="Picture 135" descr="xZVjg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6" name="Picture 136" descr="ieVlDU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7" name="Picture 137" descr="ZtlxR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8" name="Picture 138" descr="IYncs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39" name="Picture 139" descr="dxRBN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0" name="Picture 140" descr="pSOlY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1" name="Picture 141" descr="KObJX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2" name="Picture 142" descr="GMniR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3" name="Picture 143" descr="uNCyB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4" name="Picture 144" descr="xOyrZX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5" name="Picture 145" descr="JdvfA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6" name="Picture 146" descr="TlOUr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7" name="Picture 147" descr="ZHwyY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8" name="Picture 148" descr="KTrkb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49" name="Picture 149" descr="ToIcK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0" name="Picture 150" descr="JUqITi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1" name="Picture 151" descr="keVxS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2" name="Picture 152" descr="UAFpFM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3" name="Picture 153" descr="DbpRu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4" name="Picture 154" descr="WCVSi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5" name="Picture 155" descr="vjfOVm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6" name="Picture 156" descr="xEPVD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7" name="Picture 157" descr="GyTidI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8" name="Picture 158" descr="HtWfhu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59" name="Picture 159" descr="RTRgM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0" name="Picture 160" descr="iJaAl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1" name="Picture 161" descr="LjASl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2" name="Picture 162" descr="UOFJh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3" name="Picture 163" descr="ebblU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4" name="Picture 164" descr="aytXx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5" name="Picture 165" descr="uPhyl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6" name="Picture 166" descr="jJfSn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7" name="Picture 167" descr="ADehK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8" name="Picture 168" descr="HXhZL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69" name="Picture 169" descr="fWdmW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0" name="Picture 170" descr="YSOXI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1" name="Picture 171" descr="rTkkv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2" name="Picture 172" descr="DHUNZ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3" name="Picture 173" descr="jbMcv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4" name="Picture 174" descr="lUMVKW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5" name="Picture 175" descr="nLWFw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6" name="Picture 176" descr="JoDRt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7" name="Picture 177" descr="RapvDn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8" name="Picture 178" descr="oToPc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79" name="Picture 179" descr="HUfdO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0" name="Picture 180" descr="JcMwf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1" name="Picture 181" descr="nMBFc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2" name="Picture 182" descr="RZeKcV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3" name="Picture 183" descr="xmyXk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4" name="Picture 184" descr="vnJPE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5" name="Picture 185" descr="pXrkN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6" name="Picture 186" descr="VDkBVU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7" name="Picture 187" descr="AGxAx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8" name="Picture 188" descr="cupVc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89" name="Picture 189" descr="GLmIf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0" name="Picture 190" descr="oAbkz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1" name="Picture 191" descr="xAcok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2" name="Picture 192" descr="UkgzO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3" name="Picture 193" descr="JztWf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4" name="Picture 194" descr="RZTua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5" name="Picture 195" descr="LQWsB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6" name="Picture 196" descr="eTamb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7" name="Picture 197" descr="WIrUf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8" name="Picture 198" descr="WPhyj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199" name="Picture 199" descr="BwtFj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0" name="Picture 200" descr="gkeoV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1" name="Picture 201" descr="xPDKH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2" name="Picture 202" descr="JZpDz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3" name="Picture 203" descr="DcUst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4" name="Picture 204" descr="yjeMp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5" name="Picture 205" descr="Edpgwo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6" name="Picture 206" descr="RnMDPL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7" name="Picture 207" descr="ftIBZT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8" name="Picture 208" descr="rwlwp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09" name="Picture 209" descr="dkfKu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0" name="Picture 210" descr="HuPPpH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1" name="Picture 211" descr="HZFFGC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2" name="Picture 212" descr="daTNu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3" name="Picture 213" descr="JXlXO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4" name="Picture 214" descr="oDbjNY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5" name="Picture 215" descr="ZudQG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6" name="Picture 216" descr="bwFcNg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7" name="Picture 217" descr="lJapU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8" name="Picture 218" descr="Fjbbz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19" name="Picture 219" descr="pEDQU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0" name="Picture 220" descr="BGkcC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1" name="Picture 221" descr="ZxmRLu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2" name="Picture 222" descr="QgoGmE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3" name="Picture 223" descr="STuos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4" name="Picture 224" descr="hzSaG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5" name="Picture 225" descr="MBtlH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6" name="Picture 226" descr="ubKbAF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7" name="Picture 227" descr="blyoA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8" name="Picture 228" descr="ehkeX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29" name="Picture 229" descr="prsePr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0" name="Picture 230" descr="UkhWN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1" name="Picture 231" descr="ICeORs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2" name="Picture 232" descr="IygVZM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3" name="Picture 233" descr="cznFv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4" name="Picture 234" descr="Cjoydb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5" name="Picture 235" descr="iZQOND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6" name="Picture 236" descr="ozdVm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7" name="Picture 237" descr="hVMrwJ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8" name="Picture 238" descr="VqNVXM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39" name="Picture 239" descr="eNKGEl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0" name="Picture 240" descr="DetDUK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1" name="Picture 241" descr="uQsveZ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2" name="Picture 242" descr="gLpXrp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3" name="Picture 243" descr="wMEMzA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4" name="Picture 244" descr="yggFwx"/>
        <xdr:cNvPicPr/>
      </xdr:nvPicPr>
      <xdr:blipFill>
        <a:blip r:embed="rId1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5" name="Picture 245" descr="jiHgeG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6" name="Picture 246" descr="OgxuxG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7" name="Picture 247" descr="JcdavG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8" name="Picture 248" descr="mbNBBv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49" name="Picture 249" descr="Belsuf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0" name="Picture 250" descr="zjsPfa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1" name="Picture 251" descr="EgKhyh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2" name="Picture 252" descr="MCPbRA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3" name="Picture 253" descr="bTVWn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4" name="Picture 254" descr="KvCtD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5" name="Picture 255" descr="EqtCO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6" name="Picture 256" descr="IKtpO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7" name="Picture 257" descr="SGhTy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8" name="Picture 258" descr="ZDyeH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59" name="Picture 259" descr="hYxklj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0" name="Picture 260" descr="DFStcs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1" name="Picture 261" descr="uOrEW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2" name="Picture 262" descr="FapMB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3" name="Picture 263" descr="CrRNui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4" name="Picture 264" descr="LDuqra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5" name="Picture 265" descr="tURwDI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6" name="Picture 266" descr="WXPgy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7" name="Picture 267" descr="qUdyA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8" name="Picture 268" descr="ANizCH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69" name="Picture 269" descr="iaPRbg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0" name="Picture 270" descr="GnWsp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1" name="Picture 271" descr="EhLKYs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2" name="Picture 272" descr="uRylXv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3" name="Picture 273" descr="pdZBw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4" name="Picture 274" descr="oJSEV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5" name="Picture 275" descr="YaliH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6" name="Picture 276" descr="uCoFi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7" name="Picture 277" descr="WdilS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8" name="Picture 278" descr="rQpsU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79" name="Picture 279" descr="umJQB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0" name="Picture 280" descr="SmxPFh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1" name="Picture 281" descr="qwhbVi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2" name="Picture 282" descr="CzWIB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3" name="Picture 283" descr="znIZC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4" name="Picture 284" descr="sWYeLU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5" name="Picture 285" descr="nabPU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6" name="Picture 286" descr="KMHLDI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7" name="Picture 287" descr="tBCSPN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8" name="Picture 288" descr="utywO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89" name="Picture 289" descr="sCwNEL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0" name="Picture 290" descr="JdKXQ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1" name="Picture 291" descr="YVgQq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2" name="Picture 292" descr="WUJMrn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3" name="Picture 293" descr="IRttA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4" name="Picture 294" descr="WNUwC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5" name="Picture 295" descr="DNHVDV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6" name="Picture 296" descr="LtsAb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7" name="Picture 297" descr="keCMqs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8" name="Picture 298" descr="CpKtN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299" name="Picture 299" descr="qkiRT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0" name="Picture 300" descr="oGxYxC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1" name="Picture 301" descr="YwKpZ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2" name="Picture 302" descr="IOTvr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3" name="Picture 303" descr="miYog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4" name="Picture 304" descr="lkrEq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5" name="Picture 305" descr="CKVHU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6" name="Picture 306" descr="xjvKw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7" name="Picture 307" descr="SNGTDH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8" name="Picture 308" descr="ZjhNu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09" name="Picture 309" descr="GMFXBm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0" name="Picture 310" descr="RvMbFN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1" name="Picture 311" descr="LlEMoG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2" name="Picture 312" descr="qfZyAm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3" name="Picture 313" descr="aEFWcf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4" name="Picture 314" descr="YmgtXg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5" name="Picture 315" descr="tplkwJ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6" name="Picture 316" descr="qpmkY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7" name="Picture 317" descr="PCOZv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8" name="Picture 318" descr="rjfRV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19" name="Picture 319" descr="cEVSK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0" name="Picture 320" descr="ylTdtI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1" name="Picture 321" descr="BKZEh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2" name="Picture 322" descr="hJBKV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3" name="Picture 323" descr="FJhhx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4" name="Picture 324" descr="XpOrc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5" name="Picture 325" descr="IItLOF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6" name="Picture 326" descr="PrkJj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7" name="Picture 327" descr="UpMnA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8" name="Picture 328" descr="oeCzdL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29" name="Picture 329" descr="sjzeb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0" name="Picture 330" descr="VCmFG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1" name="Picture 331" descr="grKRk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2" name="Picture 332" descr="omlaq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3" name="Picture 333" descr="kZmcR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4" name="Picture 334" descr="jRAhJu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5" name="Picture 335" descr="DJxAdN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6" name="Picture 336" descr="ABRPlU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7" name="Picture 337" descr="VFXZrV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8" name="Picture 338" descr="Wyjuj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39" name="Picture 339" descr="cwWJk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0" name="Picture 340" descr="LGenWl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1" name="Picture 341" descr="hhCGz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2" name="Picture 342" descr="NwgDzj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3" name="Picture 343" descr="nZGuP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4" name="Picture 344" descr="JkpUzH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5" name="Picture 345" descr="UrXvmU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6" name="Picture 346" descr="XjnhD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7" name="Picture 347" descr="VNXIj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8" name="Picture 348" descr="EDtpKu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49" name="Picture 349" descr="wVaAov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0" name="Picture 350" descr="ZtxNcS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1" name="Picture 351" descr="puTrY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2" name="Picture 352" descr="mbwex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3" name="Picture 353" descr="bqjqlA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4" name="Picture 354" descr="PwmCJ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5" name="Picture 355" descr="qmHuqS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6" name="Picture 356" descr="cLeeqV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7" name="Picture 357" descr="myrJW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8" name="Picture 358" descr="CUSKZ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59" name="Picture 359" descr="xbIYr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0" name="Picture 360" descr="kGesc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1" name="Picture 361" descr="VaRLk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2" name="Picture 362" descr="CVIIgm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3" name="Picture 363" descr="tbOjVj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4" name="Picture 364" descr="GaqUs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5" name="Picture 365" descr="DYwSdl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6" name="Picture 366" descr="epDtJ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7" name="Picture 367" descr="OdpWs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8" name="Picture 368" descr="KNOlJ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69" name="Picture 369" descr="kzQHO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0" name="Picture 370" descr="BMEacu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1" name="Picture 371" descr="tuTLK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2" name="Picture 372" descr="BOzhBL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3" name="Picture 373" descr="hVQpRA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4" name="Picture 374" descr="VsqUK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5" name="Picture 375" descr="QRJOg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6" name="Picture 376" descr="xEtUzU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7" name="Picture 377" descr="MFzCuV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8" name="Picture 378" descr="dOZVl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79" name="Picture 379" descr="diQaL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0" name="Picture 380" descr="cGiPA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1" name="Picture 381" descr="tWBYr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2" name="Picture 382" descr="yCrFj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3" name="Picture 383" descr="KwuvJm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4" name="Picture 384" descr="jJcnY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5" name="Picture 385" descr="Aeqln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6" name="Picture 386" descr="ijNKW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7" name="Picture 387" descr="gjBuK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8" name="Picture 388" descr="lvLsR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89" name="Picture 389" descr="hjXJG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0" name="Picture 390" descr="ytLrf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1" name="Picture 391" descr="JyzHh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2" name="Picture 392" descr="ZClcf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3" name="Picture 393" descr="gfNnq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4" name="Picture 394" descr="fsOQQ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5" name="Picture 395" descr="FkiwQ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6" name="Picture 396" descr="ehFXp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7" name="Picture 397" descr="PJxhd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8" name="Picture 398" descr="THLgFc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399" name="Picture 399" descr="JqsAQa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0" name="Picture 400" descr="fZGaFA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1" name="Picture 401" descr="lEzcmC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2" name="Picture 402" descr="jQsyO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3" name="Picture 403" descr="chCXSM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4" name="Picture 404" descr="ClOXqr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5" name="Picture 405" descr="Xedel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6" name="Picture 406" descr="kFJRkL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7" name="Picture 407" descr="vjaAhf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8" name="Picture 408" descr="YAaZUU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09" name="Picture 409" descr="QUtpN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0" name="Picture 410" descr="nAdKx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1" name="Picture 411" descr="HwGtq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2" name="Picture 412" descr="hWqVr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3" name="Picture 413" descr="fIilm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4" name="Picture 414" descr="yKOsX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5" name="Picture 415" descr="MofHI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6" name="Picture 416" descr="gvmFF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7" name="Picture 417" descr="XCqpA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8" name="Picture 418" descr="bTnyxm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19" name="Picture 419" descr="dKJDkm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0" name="Picture 420" descr="qMdMm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1" name="Picture 421" descr="HFxrkM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2" name="Picture 422" descr="CbhMLj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3" name="Picture 423" descr="VBFhb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4" name="Picture 424" descr="PtpMp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5" name="Picture 425" descr="CkmRYk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6" name="Picture 426" descr="QKjMk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7" name="Picture 427" descr="DgqJO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8" name="Picture 428" descr="WFKwl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29" name="Picture 429" descr="tzTojg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0" name="Picture 430" descr="ATHZjT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1" name="Picture 431" descr="KjsWr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2" name="Picture 432" descr="cFpQD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3" name="Picture 433" descr="TAWxv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4" name="Picture 434" descr="pEXVl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5" name="Picture 435" descr="JsxZB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6" name="Picture 436" descr="LlkgA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7" name="Picture 437" descr="vIhQT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8" name="Picture 438" descr="zCXeHH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39" name="Picture 439" descr="inLQM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0" name="Picture 440" descr="GTbdUs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1" name="Picture 441" descr="QBGjve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2" name="Picture 442" descr="KYIrq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3" name="Picture 443" descr="WQvaMl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4" name="Picture 444" descr="pucpKh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5" name="Picture 445" descr="FzMuwH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6" name="Picture 446" descr="kAtiCn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7" name="Picture 447" descr="WjnYY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8" name="Picture 448" descr="rmiZPn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49" name="Picture 449" descr="QwpWc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0" name="Picture 450" descr="somzhs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1" name="Picture 451" descr="zNrHs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2" name="Picture 452" descr="JbfRB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3" name="Picture 453" descr="EtIWFZ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4" name="Picture 454" descr="GyMCNg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5" name="Picture 455" descr="QDhAdo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6" name="Picture 456" descr="fOjQty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7" name="Picture 457" descr="NVwNDj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8" name="Picture 458" descr="RgcxUf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59" name="Picture 459" descr="ZrLTW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60" name="Picture 460" descr="wvUWnw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61" name="Picture 461" descr="YuKkOp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0</xdr:colOff>
      <xdr:row>1</xdr:row>
      <xdr:rowOff>9525</xdr:rowOff>
    </xdr:to>
    <xdr:pic>
      <xdr:nvPicPr>
        <xdr:cNvPr id="462" name="Picture 462" descr="EASOo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63" name="Picture 463" descr="hEtJCV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64" name="Picture 464" descr="LQPtUF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65" name="Picture 465" descr="oQmGi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66" name="Picture 466" descr="FPUeac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67" name="Picture 467" descr="eQcfWQ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68" name="Picture 468" descr="RcOkaX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69" name="Picture 469" descr="JnkfEB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0" name="Picture 470" descr="XcRVuD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1" name="Picture 471" descr="KzzvLl"/>
        <xdr:cNvPicPr/>
      </xdr:nvPicPr>
      <xdr:blipFill>
        <a:blip r:embed="rId2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2" name="Picture 472" descr="JEnwuC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3" name="Picture 473" descr="iptvpO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4" name="Picture 474" descr="JtsjqK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5" name="Picture 475" descr="OHzRNU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6" name="Picture 476" descr="yaLuXb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5</xdr:col>
      <xdr:colOff>0</xdr:colOff>
      <xdr:row>3</xdr:row>
      <xdr:rowOff>114300</xdr:rowOff>
    </xdr:from>
    <xdr:to>
      <xdr:col>5</xdr:col>
      <xdr:colOff>9525</xdr:colOff>
      <xdr:row>3</xdr:row>
      <xdr:rowOff>123825</xdr:rowOff>
    </xdr:to>
    <xdr:pic>
      <xdr:nvPicPr>
        <xdr:cNvPr id="477" name="Picture 477" descr="GOcwzP"/>
        <xdr:cNvPicPr/>
      </xdr:nvPicPr>
      <xdr:blipFill>
        <a:blip r:embed="rId3"/>
        <a:stretch>
          <a:fillRect/>
        </a:stretch>
      </xdr:blipFill>
      <xdr:spPr>
        <a:xfrm>
          <a:off x="4933950" y="1384300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8" name="Picture 478" descr="nqTVdq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79" name="Picture 479" descr="szVQzK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0" name="Picture 480" descr="CoyctL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1" name="Picture 481" descr="zgETan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2" name="Picture 482" descr="fTbyiy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3" name="Picture 483" descr="OUCQKg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4" name="Picture 484" descr="AUefkW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5" name="Picture 485" descr="FyHkJa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6" name="Picture 486" descr="dWxhNv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7</xdr:col>
      <xdr:colOff>819150</xdr:colOff>
      <xdr:row>2</xdr:row>
      <xdr:rowOff>66675</xdr:rowOff>
    </xdr:from>
    <xdr:to>
      <xdr:col>7</xdr:col>
      <xdr:colOff>828675</xdr:colOff>
      <xdr:row>2</xdr:row>
      <xdr:rowOff>76200</xdr:rowOff>
    </xdr:to>
    <xdr:pic>
      <xdr:nvPicPr>
        <xdr:cNvPr id="487" name="Picture 487" descr="ZDQalh"/>
        <xdr:cNvPicPr/>
      </xdr:nvPicPr>
      <xdr:blipFill>
        <a:blip r:embed="rId3"/>
        <a:stretch>
          <a:fillRect/>
        </a:stretch>
      </xdr:blipFill>
      <xdr:spPr>
        <a:xfrm>
          <a:off x="7334250" y="1031875"/>
          <a:ext cx="0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8" name="Picture 488" descr="qwIaNH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1</xdr:row>
      <xdr:rowOff>9525</xdr:rowOff>
    </xdr:from>
    <xdr:to>
      <xdr:col>0</xdr:col>
      <xdr:colOff>9525</xdr:colOff>
      <xdr:row>1</xdr:row>
      <xdr:rowOff>19050</xdr:rowOff>
    </xdr:to>
    <xdr:pic>
      <xdr:nvPicPr>
        <xdr:cNvPr id="489" name="Picture 489" descr="KAGbNU"/>
        <xdr:cNvPicPr/>
      </xdr:nvPicPr>
      <xdr:blipFill>
        <a:blip r:embed="rId3"/>
        <a:stretch>
          <a:fillRect/>
        </a:stretch>
      </xdr:blipFill>
      <xdr:spPr>
        <a:xfrm>
          <a:off x="0" y="492125"/>
          <a:ext cx="9525" cy="952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3"/>
  <sheetViews>
    <sheetView workbookViewId="0">
      <pane ySplit="3" topLeftCell="A4" activePane="bottomLeft" state="frozen"/>
      <selection/>
      <selection pane="bottomLeft" activeCell="C12" sqref="C12"/>
    </sheetView>
  </sheetViews>
  <sheetFormatPr defaultColWidth="14" defaultRowHeight="12.75" outlineLevelCol="6"/>
  <cols>
    <col min="1" max="1" width="6" customWidth="1"/>
    <col min="2" max="2" width="18" customWidth="1"/>
    <col min="3" max="4" width="11" customWidth="1"/>
    <col min="5" max="5" width="12" customWidth="1"/>
    <col min="6" max="6" width="13" customWidth="1"/>
    <col min="7" max="7" width="15" customWidth="1"/>
  </cols>
  <sheetData>
    <row r="1" ht="32" customHeight="1" spans="1:7">
      <c r="A1" s="1" t="s">
        <v>0</v>
      </c>
      <c r="B1" s="1"/>
      <c r="C1" s="1"/>
      <c r="D1" s="1"/>
      <c r="E1" s="1"/>
      <c r="F1" s="1"/>
      <c r="G1" s="1"/>
    </row>
    <row r="2" ht="19" customHeight="1" spans="1:7">
      <c r="A2" s="106" t="s">
        <v>1</v>
      </c>
      <c r="B2" s="7" t="s">
        <v>2</v>
      </c>
      <c r="C2" s="106" t="s">
        <v>3</v>
      </c>
      <c r="D2" s="8" t="s">
        <v>4</v>
      </c>
      <c r="E2" s="8" t="s">
        <v>5</v>
      </c>
      <c r="F2" s="8"/>
      <c r="G2" s="8"/>
    </row>
    <row r="3" ht="19" customHeight="1" spans="1:7">
      <c r="A3" s="106"/>
      <c r="B3" s="7"/>
      <c r="C3" s="106"/>
      <c r="D3" s="8"/>
      <c r="E3" s="8" t="s">
        <v>6</v>
      </c>
      <c r="F3" s="8" t="s">
        <v>7</v>
      </c>
      <c r="G3" s="8" t="s">
        <v>8</v>
      </c>
    </row>
    <row r="4" ht="15" spans="1:7">
      <c r="A4" s="113">
        <v>1</v>
      </c>
      <c r="B4" s="113" t="s">
        <v>9</v>
      </c>
      <c r="C4" s="124" t="s">
        <v>10</v>
      </c>
      <c r="D4" s="113"/>
      <c r="E4" s="113"/>
      <c r="F4" s="113"/>
      <c r="G4" s="113"/>
    </row>
    <row r="5" ht="15" spans="1:7">
      <c r="A5" s="113">
        <v>2</v>
      </c>
      <c r="B5" s="82" t="s">
        <v>11</v>
      </c>
      <c r="C5" s="124" t="s">
        <v>10</v>
      </c>
      <c r="D5" s="113"/>
      <c r="E5" s="113"/>
      <c r="F5" s="113"/>
      <c r="G5" s="113"/>
    </row>
    <row r="6" ht="15" spans="1:7">
      <c r="A6" s="113">
        <v>3</v>
      </c>
      <c r="B6" s="88" t="s">
        <v>12</v>
      </c>
      <c r="C6" s="124" t="s">
        <v>10</v>
      </c>
      <c r="D6" s="113"/>
      <c r="E6" s="113"/>
      <c r="F6" s="113"/>
      <c r="G6" s="113"/>
    </row>
    <row r="7" ht="15" spans="1:7">
      <c r="A7" s="113">
        <v>4</v>
      </c>
      <c r="B7" s="88" t="s">
        <v>13</v>
      </c>
      <c r="C7" s="124" t="s">
        <v>10</v>
      </c>
      <c r="D7" s="113"/>
      <c r="E7" s="113"/>
      <c r="F7" s="113"/>
      <c r="G7" s="113"/>
    </row>
    <row r="8" ht="37" customHeight="1" spans="1:7">
      <c r="A8" s="113">
        <v>5</v>
      </c>
      <c r="B8" s="88" t="s">
        <v>14</v>
      </c>
      <c r="C8" s="124" t="s">
        <v>10</v>
      </c>
      <c r="D8" s="113"/>
      <c r="E8" s="113"/>
      <c r="F8" s="113"/>
      <c r="G8" s="113"/>
    </row>
    <row r="9" ht="15" spans="1:7">
      <c r="A9" s="113">
        <v>6</v>
      </c>
      <c r="B9" s="82" t="s">
        <v>15</v>
      </c>
      <c r="C9" s="124" t="s">
        <v>10</v>
      </c>
      <c r="D9" s="113"/>
      <c r="E9" s="113"/>
      <c r="F9" s="113"/>
      <c r="G9" s="113"/>
    </row>
    <row r="10" ht="15" spans="1:7">
      <c r="A10" s="113">
        <v>7</v>
      </c>
      <c r="B10" s="88" t="s">
        <v>16</v>
      </c>
      <c r="C10" s="124" t="s">
        <v>10</v>
      </c>
      <c r="D10" s="113"/>
      <c r="E10" s="113"/>
      <c r="F10" s="113"/>
      <c r="G10" s="113"/>
    </row>
    <row r="11" ht="15" spans="1:7">
      <c r="A11" s="113">
        <v>8</v>
      </c>
      <c r="B11" s="88" t="s">
        <v>17</v>
      </c>
      <c r="C11" s="124" t="s">
        <v>10</v>
      </c>
      <c r="D11" s="113"/>
      <c r="E11" s="113"/>
      <c r="F11" s="113"/>
      <c r="G11" s="113"/>
    </row>
    <row r="12" ht="41" customHeight="1" spans="1:7">
      <c r="A12" s="113">
        <v>9</v>
      </c>
      <c r="B12" s="88" t="s">
        <v>18</v>
      </c>
      <c r="C12" s="124" t="s">
        <v>10</v>
      </c>
      <c r="D12" s="113"/>
      <c r="E12" s="113"/>
      <c r="F12" s="113"/>
      <c r="G12" s="113"/>
    </row>
    <row r="13" ht="15" spans="1:7">
      <c r="A13" s="113">
        <v>10</v>
      </c>
      <c r="B13" s="88" t="s">
        <v>19</v>
      </c>
      <c r="C13" s="124" t="s">
        <v>10</v>
      </c>
      <c r="D13" s="113"/>
      <c r="E13" s="113"/>
      <c r="F13" s="113"/>
      <c r="G13" s="113"/>
    </row>
    <row r="14" ht="52" customHeight="1" spans="1:7">
      <c r="A14" s="113">
        <v>11</v>
      </c>
      <c r="B14" s="82" t="s">
        <v>20</v>
      </c>
      <c r="C14" s="124" t="s">
        <v>10</v>
      </c>
      <c r="D14" s="113"/>
      <c r="E14" s="113"/>
      <c r="F14" s="113"/>
      <c r="G14" s="113"/>
    </row>
    <row r="15" ht="15" spans="1:7">
      <c r="A15" s="113">
        <v>12</v>
      </c>
      <c r="B15" s="82" t="s">
        <v>21</v>
      </c>
      <c r="C15" s="124" t="s">
        <v>10</v>
      </c>
      <c r="D15" s="113"/>
      <c r="E15" s="113"/>
      <c r="F15" s="113"/>
      <c r="G15" s="113"/>
    </row>
    <row r="16" ht="42" customHeight="1" spans="1:7">
      <c r="A16" s="113">
        <v>13</v>
      </c>
      <c r="B16" s="82" t="s">
        <v>22</v>
      </c>
      <c r="C16" s="124" t="s">
        <v>10</v>
      </c>
      <c r="D16" s="113"/>
      <c r="E16" s="113"/>
      <c r="F16" s="113"/>
      <c r="G16" s="113"/>
    </row>
    <row r="17" ht="19" customHeight="1" spans="1:7">
      <c r="A17" s="113">
        <v>14</v>
      </c>
      <c r="B17" s="113" t="s">
        <v>23</v>
      </c>
      <c r="C17" s="124" t="s">
        <v>10</v>
      </c>
      <c r="D17" s="113"/>
      <c r="E17" s="113"/>
      <c r="F17" s="113"/>
      <c r="G17" s="113"/>
    </row>
    <row r="18" ht="15" spans="1:7">
      <c r="A18" s="113">
        <v>15</v>
      </c>
      <c r="B18" s="82" t="s">
        <v>24</v>
      </c>
      <c r="C18" s="124" t="s">
        <v>10</v>
      </c>
      <c r="D18" s="113"/>
      <c r="E18" s="113"/>
      <c r="F18" s="113"/>
      <c r="G18" s="113"/>
    </row>
    <row r="19" ht="15" spans="1:7">
      <c r="A19" s="113">
        <v>16</v>
      </c>
      <c r="B19" s="82" t="s">
        <v>25</v>
      </c>
      <c r="C19" s="124" t="s">
        <v>10</v>
      </c>
      <c r="D19" s="113"/>
      <c r="E19" s="113"/>
      <c r="F19" s="113"/>
      <c r="G19" s="113"/>
    </row>
    <row r="20" ht="15" spans="1:7">
      <c r="A20" s="113">
        <v>17</v>
      </c>
      <c r="B20" s="82" t="s">
        <v>26</v>
      </c>
      <c r="C20" s="124" t="s">
        <v>10</v>
      </c>
      <c r="D20" s="113"/>
      <c r="E20" s="113"/>
      <c r="F20" s="113"/>
      <c r="G20" s="113"/>
    </row>
    <row r="21" ht="41" customHeight="1" spans="1:7">
      <c r="A21" s="113">
        <v>18</v>
      </c>
      <c r="B21" s="82" t="s">
        <v>27</v>
      </c>
      <c r="C21" s="124" t="s">
        <v>10</v>
      </c>
      <c r="D21" s="113"/>
      <c r="E21" s="113"/>
      <c r="F21" s="113"/>
      <c r="G21" s="113"/>
    </row>
    <row r="22" ht="19" customHeight="1" spans="1:7">
      <c r="A22" s="113">
        <v>19</v>
      </c>
      <c r="B22" s="82" t="s">
        <v>28</v>
      </c>
      <c r="C22" s="124" t="s">
        <v>10</v>
      </c>
      <c r="D22" s="113"/>
      <c r="E22" s="113"/>
      <c r="F22" s="113"/>
      <c r="G22" s="113"/>
    </row>
    <row r="23" ht="29" customHeight="1" spans="1:7">
      <c r="A23" s="113">
        <v>20</v>
      </c>
      <c r="B23" s="113" t="s">
        <v>29</v>
      </c>
      <c r="C23" s="124" t="s">
        <v>10</v>
      </c>
      <c r="D23" s="113"/>
      <c r="E23" s="113"/>
      <c r="F23" s="113"/>
      <c r="G23" s="113"/>
    </row>
  </sheetData>
  <mergeCells count="6">
    <mergeCell ref="A1:G1"/>
    <mergeCell ref="E2:G2"/>
    <mergeCell ref="A2:A3"/>
    <mergeCell ref="B2:B3"/>
    <mergeCell ref="C2:C3"/>
    <mergeCell ref="D2:D3"/>
  </mergeCell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1"/>
  <sheetViews>
    <sheetView topLeftCell="B1" workbookViewId="0">
      <selection activeCell="M1" sqref="M$1:M$1048576"/>
    </sheetView>
  </sheetViews>
  <sheetFormatPr defaultColWidth="14" defaultRowHeight="12.75"/>
  <cols>
    <col min="1" max="1" width="8" customWidth="1"/>
    <col min="2" max="2" width="33" customWidth="1"/>
    <col min="3" max="3" width="14" customWidth="1"/>
    <col min="4" max="4" width="11" customWidth="1"/>
    <col min="5" max="5" width="13" customWidth="1"/>
    <col min="6" max="8" width="12" customWidth="1"/>
    <col min="9" max="9" width="14" customWidth="1"/>
    <col min="10" max="12" width="12" customWidth="1"/>
    <col min="13" max="18" width="10" customWidth="1"/>
  </cols>
  <sheetData>
    <row r="1" ht="19" customHeight="1" spans="1:12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9" customHeight="1" spans="1:1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19" customHeight="1" spans="1:12">
      <c r="A3" s="7" t="s">
        <v>1</v>
      </c>
      <c r="B3" s="7" t="s">
        <v>2</v>
      </c>
      <c r="C3" s="7" t="s">
        <v>3</v>
      </c>
      <c r="D3" s="121" t="s">
        <v>32</v>
      </c>
      <c r="E3" s="121" t="s">
        <v>4</v>
      </c>
      <c r="F3" s="107" t="s">
        <v>33</v>
      </c>
      <c r="G3" s="107"/>
      <c r="H3" s="8" t="s">
        <v>5</v>
      </c>
      <c r="I3" s="8"/>
      <c r="J3" s="8"/>
      <c r="K3" s="7" t="s">
        <v>34</v>
      </c>
      <c r="L3" s="7" t="s">
        <v>35</v>
      </c>
    </row>
    <row r="4" ht="19" customHeight="1" spans="1:12">
      <c r="A4" s="7"/>
      <c r="B4" s="7"/>
      <c r="C4" s="122"/>
      <c r="D4" s="121"/>
      <c r="E4" s="121"/>
      <c r="F4" s="107" t="s">
        <v>6</v>
      </c>
      <c r="G4" s="107" t="s">
        <v>36</v>
      </c>
      <c r="H4" s="107" t="s">
        <v>6</v>
      </c>
      <c r="I4" s="8" t="s">
        <v>7</v>
      </c>
      <c r="J4" s="121" t="s">
        <v>8</v>
      </c>
      <c r="K4" s="7"/>
      <c r="L4" s="7"/>
    </row>
    <row r="5" ht="15" spans="1:12">
      <c r="A5" s="113">
        <v>1</v>
      </c>
      <c r="B5" s="123" t="s">
        <v>37</v>
      </c>
      <c r="C5" s="25" t="s">
        <v>10</v>
      </c>
      <c r="D5" s="124" t="s">
        <v>38</v>
      </c>
      <c r="E5" s="113"/>
      <c r="F5" s="113"/>
      <c r="G5" s="113"/>
      <c r="H5" s="113"/>
      <c r="I5" s="113"/>
      <c r="J5" s="119"/>
      <c r="K5" s="113"/>
      <c r="L5" s="113"/>
    </row>
    <row r="6" ht="15" spans="1:12">
      <c r="A6" s="113">
        <v>2</v>
      </c>
      <c r="B6" s="125" t="s">
        <v>39</v>
      </c>
      <c r="C6" s="25" t="s">
        <v>10</v>
      </c>
      <c r="D6" s="108"/>
      <c r="E6" s="113"/>
      <c r="F6" s="113"/>
      <c r="G6" s="113"/>
      <c r="H6" s="113"/>
      <c r="I6" s="113"/>
      <c r="J6" s="119"/>
      <c r="K6" s="113"/>
      <c r="L6" s="113"/>
    </row>
    <row r="7" ht="15" spans="1:12">
      <c r="A7" s="113">
        <v>3</v>
      </c>
      <c r="B7" s="125" t="s">
        <v>40</v>
      </c>
      <c r="C7" s="25" t="s">
        <v>10</v>
      </c>
      <c r="D7" s="108"/>
      <c r="E7" s="113"/>
      <c r="F7" s="113"/>
      <c r="G7" s="113"/>
      <c r="H7" s="113"/>
      <c r="I7" s="113"/>
      <c r="J7" s="119"/>
      <c r="K7" s="113"/>
      <c r="L7" s="113"/>
    </row>
    <row r="8" ht="19" customHeight="1" spans="1:12">
      <c r="A8" s="113">
        <v>4</v>
      </c>
      <c r="B8" s="125" t="s">
        <v>41</v>
      </c>
      <c r="C8" s="25" t="s">
        <v>10</v>
      </c>
      <c r="D8" s="108"/>
      <c r="E8" s="113"/>
      <c r="F8" s="113"/>
      <c r="G8" s="113"/>
      <c r="H8" s="113"/>
      <c r="I8" s="113"/>
      <c r="J8" s="119"/>
      <c r="K8" s="113"/>
      <c r="L8" s="113"/>
    </row>
    <row r="9" ht="15" spans="1:12">
      <c r="A9" s="113">
        <v>5</v>
      </c>
      <c r="B9" s="125" t="s">
        <v>42</v>
      </c>
      <c r="C9" s="25" t="s">
        <v>10</v>
      </c>
      <c r="D9" s="108"/>
      <c r="E9" s="113"/>
      <c r="F9" s="113"/>
      <c r="G9" s="113"/>
      <c r="H9" s="113"/>
      <c r="I9" s="113"/>
      <c r="J9" s="119"/>
      <c r="K9" s="113"/>
      <c r="L9" s="113"/>
    </row>
    <row r="10" ht="15" spans="1:12">
      <c r="A10" s="113">
        <v>6</v>
      </c>
      <c r="B10" s="125" t="s">
        <v>43</v>
      </c>
      <c r="C10" s="25" t="s">
        <v>10</v>
      </c>
      <c r="D10" s="108"/>
      <c r="E10" s="113"/>
      <c r="F10" s="113"/>
      <c r="G10" s="113"/>
      <c r="H10" s="113"/>
      <c r="I10" s="113"/>
      <c r="J10" s="119"/>
      <c r="K10" s="113"/>
      <c r="L10" s="113"/>
    </row>
    <row r="11" ht="15" spans="1:12">
      <c r="A11" s="113">
        <v>7</v>
      </c>
      <c r="B11" s="125" t="s">
        <v>44</v>
      </c>
      <c r="C11" s="25" t="s">
        <v>10</v>
      </c>
      <c r="D11" s="108"/>
      <c r="E11" s="113"/>
      <c r="F11" s="113"/>
      <c r="G11" s="113"/>
      <c r="H11" s="113"/>
      <c r="I11" s="113"/>
      <c r="J11" s="119"/>
      <c r="K11" s="113"/>
      <c r="L11" s="113"/>
    </row>
    <row r="12" ht="15" spans="1:12">
      <c r="A12" s="113">
        <v>8</v>
      </c>
      <c r="B12" s="123" t="s">
        <v>45</v>
      </c>
      <c r="C12" s="25" t="s">
        <v>10</v>
      </c>
      <c r="D12" s="108"/>
      <c r="E12" s="113"/>
      <c r="F12" s="113"/>
      <c r="G12" s="113"/>
      <c r="H12" s="113"/>
      <c r="I12" s="113"/>
      <c r="J12" s="119"/>
      <c r="K12" s="113"/>
      <c r="L12" s="113"/>
    </row>
    <row r="13" ht="15" spans="1:12">
      <c r="A13" s="113">
        <v>9</v>
      </c>
      <c r="B13" s="123" t="s">
        <v>46</v>
      </c>
      <c r="C13" s="25" t="s">
        <v>10</v>
      </c>
      <c r="D13" s="108"/>
      <c r="E13" s="113"/>
      <c r="F13" s="113"/>
      <c r="G13" s="113"/>
      <c r="H13" s="113"/>
      <c r="I13" s="113"/>
      <c r="J13" s="119"/>
      <c r="K13" s="113"/>
      <c r="L13" s="113"/>
    </row>
    <row r="14" ht="15" spans="1:12">
      <c r="A14" s="113">
        <v>10</v>
      </c>
      <c r="B14" s="123" t="s">
        <v>47</v>
      </c>
      <c r="C14" s="25" t="s">
        <v>10</v>
      </c>
      <c r="D14" s="108"/>
      <c r="E14" s="113"/>
      <c r="F14" s="113"/>
      <c r="G14" s="113"/>
      <c r="H14" s="113"/>
      <c r="I14" s="113"/>
      <c r="J14" s="119"/>
      <c r="K14" s="113"/>
      <c r="L14" s="113"/>
    </row>
    <row r="15" ht="15" spans="1:12">
      <c r="A15" s="113">
        <v>11</v>
      </c>
      <c r="B15" s="123" t="s">
        <v>48</v>
      </c>
      <c r="C15" s="25" t="s">
        <v>10</v>
      </c>
      <c r="D15" s="108"/>
      <c r="E15" s="113"/>
      <c r="F15" s="113"/>
      <c r="G15" s="113"/>
      <c r="H15" s="113"/>
      <c r="I15" s="113"/>
      <c r="J15" s="119"/>
      <c r="K15" s="113"/>
      <c r="L15" s="113"/>
    </row>
    <row r="16" ht="19" customHeight="1" spans="1:12">
      <c r="A16" s="113">
        <v>12</v>
      </c>
      <c r="B16" s="123" t="s">
        <v>49</v>
      </c>
      <c r="C16" s="25" t="s">
        <v>10</v>
      </c>
      <c r="D16" s="126" t="s">
        <v>38</v>
      </c>
      <c r="E16" s="113"/>
      <c r="F16" s="113"/>
      <c r="G16" s="113"/>
      <c r="H16" s="113"/>
      <c r="I16" s="113"/>
      <c r="J16" s="119"/>
      <c r="K16" s="113"/>
      <c r="L16" s="113"/>
    </row>
    <row r="17" ht="19" customHeight="1" spans="1:12">
      <c r="A17" s="113">
        <v>13</v>
      </c>
      <c r="B17" s="123" t="s">
        <v>50</v>
      </c>
      <c r="C17" s="25" t="s">
        <v>10</v>
      </c>
      <c r="D17" s="108"/>
      <c r="E17" s="113"/>
      <c r="F17" s="113"/>
      <c r="G17" s="113"/>
      <c r="H17" s="113"/>
      <c r="I17" s="113"/>
      <c r="J17" s="119"/>
      <c r="K17" s="113"/>
      <c r="L17" s="113"/>
    </row>
    <row r="18" ht="19" customHeight="1" spans="1:12">
      <c r="A18" s="113">
        <v>14</v>
      </c>
      <c r="B18" s="123" t="s">
        <v>51</v>
      </c>
      <c r="C18" s="25" t="s">
        <v>10</v>
      </c>
      <c r="D18" s="108"/>
      <c r="E18" s="113"/>
      <c r="F18" s="113"/>
      <c r="G18" s="113"/>
      <c r="H18" s="113"/>
      <c r="I18" s="113"/>
      <c r="J18" s="119"/>
      <c r="K18" s="113"/>
      <c r="L18" s="113"/>
    </row>
    <row r="19" ht="19" customHeight="1"/>
    <row r="20" ht="19" customHeight="1"/>
    <row r="21" ht="19" customHeight="1"/>
  </sheetData>
  <mergeCells count="11">
    <mergeCell ref="A1:L1"/>
    <mergeCell ref="A2:L2"/>
    <mergeCell ref="F3:G3"/>
    <mergeCell ref="H3:J3"/>
    <mergeCell ref="A3:A4"/>
    <mergeCell ref="B3:B4"/>
    <mergeCell ref="C3:C4"/>
    <mergeCell ref="D3:D4"/>
    <mergeCell ref="E3:E4"/>
    <mergeCell ref="K3:K4"/>
    <mergeCell ref="L3:L4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5"/>
  <sheetViews>
    <sheetView workbookViewId="0">
      <pane ySplit="4" topLeftCell="A5" activePane="bottomLeft" state="frozen"/>
      <selection/>
      <selection pane="bottomLeft" activeCell="Q6" sqref="Q6"/>
    </sheetView>
  </sheetViews>
  <sheetFormatPr defaultColWidth="14" defaultRowHeight="12.75"/>
  <cols>
    <col min="1" max="1" width="12" customWidth="1"/>
    <col min="2" max="2" width="6" customWidth="1"/>
    <col min="3" max="3" width="23" customWidth="1"/>
    <col min="4" max="4" width="10" customWidth="1"/>
    <col min="5" max="6" width="11" customWidth="1"/>
    <col min="7" max="7" width="15" customWidth="1"/>
    <col min="8" max="8" width="11" customWidth="1"/>
    <col min="9" max="9" width="10" customWidth="1"/>
    <col min="10" max="11" width="13" customWidth="1"/>
    <col min="12" max="12" width="14" customWidth="1"/>
    <col min="13" max="20" width="10" customWidth="1"/>
  </cols>
  <sheetData>
    <row r="1" ht="19" customHeight="1" spans="1:1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9" customHeight="1" spans="1:12">
      <c r="A2" s="5" t="s">
        <v>31</v>
      </c>
      <c r="B2" s="115"/>
      <c r="C2" s="5"/>
      <c r="D2" s="5"/>
      <c r="E2" s="5"/>
      <c r="F2" s="5"/>
      <c r="G2" s="5"/>
      <c r="H2" s="5"/>
      <c r="I2" s="5"/>
      <c r="J2" s="5"/>
      <c r="K2" s="5"/>
      <c r="L2" s="5"/>
    </row>
    <row r="3" ht="19" customHeight="1" spans="1:12">
      <c r="A3" s="106" t="s">
        <v>53</v>
      </c>
      <c r="B3" s="106" t="s">
        <v>54</v>
      </c>
      <c r="C3" s="106"/>
      <c r="D3" s="106"/>
      <c r="E3" s="106"/>
      <c r="F3" s="106"/>
      <c r="G3" s="8" t="s">
        <v>4</v>
      </c>
      <c r="H3" s="107" t="s">
        <v>55</v>
      </c>
      <c r="I3" s="107"/>
      <c r="J3" s="107"/>
      <c r="K3" s="7" t="s">
        <v>34</v>
      </c>
      <c r="L3" s="7" t="s">
        <v>35</v>
      </c>
    </row>
    <row r="4" ht="42" customHeight="1" spans="1:12">
      <c r="A4" s="106"/>
      <c r="B4" s="106" t="s">
        <v>1</v>
      </c>
      <c r="C4" s="106" t="s">
        <v>2</v>
      </c>
      <c r="D4" s="106" t="s">
        <v>3</v>
      </c>
      <c r="E4" s="8" t="s">
        <v>32</v>
      </c>
      <c r="F4" s="116" t="s">
        <v>56</v>
      </c>
      <c r="G4" s="8"/>
      <c r="H4" s="107" t="s">
        <v>6</v>
      </c>
      <c r="I4" s="8" t="s">
        <v>7</v>
      </c>
      <c r="J4" s="8" t="s">
        <v>8</v>
      </c>
      <c r="K4" s="7"/>
      <c r="L4" s="7"/>
    </row>
    <row r="5" ht="15" spans="1:12">
      <c r="A5" s="113" t="s">
        <v>57</v>
      </c>
      <c r="B5" s="83">
        <v>1</v>
      </c>
      <c r="C5" s="113" t="s">
        <v>58</v>
      </c>
      <c r="D5" s="108" t="s">
        <v>59</v>
      </c>
      <c r="E5" s="108" t="s">
        <v>38</v>
      </c>
      <c r="F5" s="25" t="s">
        <v>60</v>
      </c>
      <c r="G5" s="113"/>
      <c r="H5" s="113"/>
      <c r="I5" s="113"/>
      <c r="J5" s="113"/>
      <c r="K5" s="113"/>
      <c r="L5" s="117"/>
    </row>
    <row r="6" ht="39" customHeight="1" spans="1:12">
      <c r="A6" s="113"/>
      <c r="B6" s="83">
        <v>2</v>
      </c>
      <c r="C6" s="113" t="s">
        <v>61</v>
      </c>
      <c r="D6" s="108" t="s">
        <v>59</v>
      </c>
      <c r="E6" s="108"/>
      <c r="F6" s="25" t="s">
        <v>60</v>
      </c>
      <c r="G6" s="113"/>
      <c r="H6" s="113"/>
      <c r="I6" s="113"/>
      <c r="J6" s="113"/>
      <c r="K6" s="113"/>
      <c r="L6" s="117"/>
    </row>
    <row r="7" ht="15" spans="1:12">
      <c r="A7" s="113"/>
      <c r="B7" s="83">
        <v>3</v>
      </c>
      <c r="C7" s="118" t="s">
        <v>62</v>
      </c>
      <c r="D7" s="108" t="s">
        <v>59</v>
      </c>
      <c r="E7" s="108"/>
      <c r="F7" s="25" t="s">
        <v>63</v>
      </c>
      <c r="G7" s="113"/>
      <c r="H7" s="113"/>
      <c r="I7" s="113"/>
      <c r="J7" s="113"/>
      <c r="K7" s="113"/>
      <c r="L7" s="117"/>
    </row>
    <row r="8" ht="15" spans="1:12">
      <c r="A8" s="113"/>
      <c r="B8" s="83">
        <v>4</v>
      </c>
      <c r="C8" s="118" t="s">
        <v>64</v>
      </c>
      <c r="D8" s="108" t="s">
        <v>59</v>
      </c>
      <c r="E8" s="108"/>
      <c r="F8" s="25" t="s">
        <v>65</v>
      </c>
      <c r="G8" s="113"/>
      <c r="H8" s="113"/>
      <c r="I8" s="113"/>
      <c r="J8" s="113"/>
      <c r="K8" s="113"/>
      <c r="L8" s="117"/>
    </row>
    <row r="9" ht="15" spans="1:12">
      <c r="A9" s="113" t="s">
        <v>66</v>
      </c>
      <c r="B9" s="83">
        <v>5</v>
      </c>
      <c r="C9" s="113" t="s">
        <v>67</v>
      </c>
      <c r="D9" s="108" t="s">
        <v>59</v>
      </c>
      <c r="E9" s="108"/>
      <c r="F9" s="25" t="s">
        <v>68</v>
      </c>
      <c r="G9" s="113"/>
      <c r="H9" s="113"/>
      <c r="I9" s="113"/>
      <c r="J9" s="113"/>
      <c r="K9" s="113"/>
      <c r="L9" s="26"/>
    </row>
    <row r="10" ht="15" spans="1:12">
      <c r="A10" s="113"/>
      <c r="B10" s="83">
        <v>6</v>
      </c>
      <c r="C10" s="113" t="s">
        <v>69</v>
      </c>
      <c r="D10" s="108" t="s">
        <v>59</v>
      </c>
      <c r="E10" s="108"/>
      <c r="F10" s="25" t="s">
        <v>70</v>
      </c>
      <c r="G10" s="113"/>
      <c r="H10" s="113"/>
      <c r="I10" s="113"/>
      <c r="J10" s="113"/>
      <c r="K10" s="113"/>
      <c r="L10" s="26"/>
    </row>
    <row r="11" ht="15" spans="1:12">
      <c r="A11" s="113" t="s">
        <v>71</v>
      </c>
      <c r="B11" s="83">
        <v>7</v>
      </c>
      <c r="C11" s="113" t="s">
        <v>72</v>
      </c>
      <c r="D11" s="108" t="s">
        <v>59</v>
      </c>
      <c r="E11" s="108"/>
      <c r="F11" s="25"/>
      <c r="G11" s="113"/>
      <c r="H11" s="113"/>
      <c r="I11" s="113"/>
      <c r="J11" s="119"/>
      <c r="K11" s="113"/>
      <c r="L11" s="117"/>
    </row>
    <row r="12" ht="15" spans="1:12">
      <c r="A12" s="113"/>
      <c r="B12" s="83">
        <v>8</v>
      </c>
      <c r="C12" s="113" t="s">
        <v>73</v>
      </c>
      <c r="D12" s="108" t="s">
        <v>59</v>
      </c>
      <c r="E12" s="108"/>
      <c r="F12" s="25"/>
      <c r="G12" s="113"/>
      <c r="H12" s="113"/>
      <c r="I12" s="113"/>
      <c r="J12" s="119"/>
      <c r="K12" s="113"/>
      <c r="L12" s="117"/>
    </row>
    <row r="13" ht="15" spans="1:12">
      <c r="A13" s="113"/>
      <c r="B13" s="83">
        <v>9</v>
      </c>
      <c r="C13" s="113" t="s">
        <v>74</v>
      </c>
      <c r="D13" s="108" t="s">
        <v>59</v>
      </c>
      <c r="E13" s="108"/>
      <c r="F13" s="25"/>
      <c r="G13" s="113"/>
      <c r="H13" s="113"/>
      <c r="I13" s="113"/>
      <c r="J13" s="119"/>
      <c r="K13" s="113"/>
      <c r="L13" s="117"/>
    </row>
    <row r="14" ht="15" spans="1:12">
      <c r="A14" s="113"/>
      <c r="B14" s="83">
        <v>10</v>
      </c>
      <c r="C14" s="113" t="s">
        <v>75</v>
      </c>
      <c r="D14" s="108" t="s">
        <v>59</v>
      </c>
      <c r="E14" s="108"/>
      <c r="F14" s="25"/>
      <c r="G14" s="113"/>
      <c r="H14" s="113"/>
      <c r="I14" s="113"/>
      <c r="J14" s="119"/>
      <c r="K14" s="113"/>
      <c r="L14" s="117"/>
    </row>
    <row r="15" ht="45" customHeight="1" spans="1:12">
      <c r="A15" s="113" t="s">
        <v>76</v>
      </c>
      <c r="B15" s="83">
        <v>11</v>
      </c>
      <c r="C15" s="113" t="s">
        <v>77</v>
      </c>
      <c r="D15" s="108" t="s">
        <v>10</v>
      </c>
      <c r="E15" s="108"/>
      <c r="F15" s="25"/>
      <c r="G15" s="113"/>
      <c r="H15" s="113"/>
      <c r="I15" s="113"/>
      <c r="J15" s="113"/>
      <c r="K15" s="113"/>
      <c r="L15" s="117"/>
    </row>
    <row r="16" ht="15" spans="1:12">
      <c r="A16" s="113"/>
      <c r="B16" s="83">
        <v>12</v>
      </c>
      <c r="C16" s="113" t="s">
        <v>78</v>
      </c>
      <c r="D16" s="108" t="s">
        <v>59</v>
      </c>
      <c r="E16" s="108" t="s">
        <v>38</v>
      </c>
      <c r="F16" s="25" t="s">
        <v>79</v>
      </c>
      <c r="G16" s="113"/>
      <c r="H16" s="113"/>
      <c r="I16" s="113"/>
      <c r="J16" s="113"/>
      <c r="K16" s="113"/>
      <c r="L16" s="117"/>
    </row>
    <row r="17" ht="45" customHeight="1" spans="1:12">
      <c r="A17" s="113"/>
      <c r="B17" s="83">
        <v>13</v>
      </c>
      <c r="C17" s="113" t="s">
        <v>80</v>
      </c>
      <c r="D17" s="108" t="s">
        <v>10</v>
      </c>
      <c r="E17" s="108"/>
      <c r="F17" s="25"/>
      <c r="G17" s="113"/>
      <c r="H17" s="113"/>
      <c r="I17" s="113"/>
      <c r="J17" s="113"/>
      <c r="K17" s="113"/>
      <c r="L17" s="117"/>
    </row>
    <row r="18" ht="15" spans="1:12">
      <c r="A18" s="113"/>
      <c r="B18" s="83">
        <v>14</v>
      </c>
      <c r="C18" s="113" t="s">
        <v>81</v>
      </c>
      <c r="D18" s="108" t="s">
        <v>59</v>
      </c>
      <c r="E18" s="108"/>
      <c r="F18" s="25" t="s">
        <v>82</v>
      </c>
      <c r="G18" s="113"/>
      <c r="H18" s="113"/>
      <c r="I18" s="113"/>
      <c r="J18" s="113"/>
      <c r="K18" s="113"/>
      <c r="L18" s="117"/>
    </row>
    <row r="19" ht="45" customHeight="1" spans="1:12">
      <c r="A19" s="113"/>
      <c r="B19" s="83">
        <v>15</v>
      </c>
      <c r="C19" s="113" t="s">
        <v>83</v>
      </c>
      <c r="D19" s="108" t="s">
        <v>10</v>
      </c>
      <c r="E19" s="108"/>
      <c r="F19" s="25"/>
      <c r="G19" s="113"/>
      <c r="H19" s="113"/>
      <c r="I19" s="113"/>
      <c r="J19" s="113"/>
      <c r="K19" s="113"/>
      <c r="L19" s="117"/>
    </row>
    <row r="20" ht="15" spans="1:12">
      <c r="A20" s="113"/>
      <c r="B20" s="83">
        <v>16</v>
      </c>
      <c r="C20" s="113" t="s">
        <v>84</v>
      </c>
      <c r="D20" s="108" t="s">
        <v>59</v>
      </c>
      <c r="E20" s="108"/>
      <c r="F20" s="25" t="s">
        <v>85</v>
      </c>
      <c r="G20" s="113"/>
      <c r="H20" s="113"/>
      <c r="I20" s="113"/>
      <c r="J20" s="113"/>
      <c r="K20" s="113"/>
      <c r="L20" s="117"/>
    </row>
    <row r="21" ht="15" spans="1:12">
      <c r="A21" s="113"/>
      <c r="B21" s="83">
        <v>17</v>
      </c>
      <c r="C21" s="113" t="s">
        <v>86</v>
      </c>
      <c r="D21" s="108" t="s">
        <v>59</v>
      </c>
      <c r="E21" s="108"/>
      <c r="F21" s="25" t="s">
        <v>87</v>
      </c>
      <c r="G21" s="113"/>
      <c r="H21" s="113"/>
      <c r="I21" s="113"/>
      <c r="J21" s="113"/>
      <c r="K21" s="113"/>
      <c r="L21" s="117"/>
    </row>
    <row r="22" ht="45" customHeight="1" spans="1:12">
      <c r="A22" s="113"/>
      <c r="B22" s="83">
        <v>18</v>
      </c>
      <c r="C22" s="120" t="s">
        <v>88</v>
      </c>
      <c r="D22" s="108" t="s">
        <v>10</v>
      </c>
      <c r="E22" s="108"/>
      <c r="F22" s="25"/>
      <c r="G22" s="113"/>
      <c r="H22" s="113"/>
      <c r="I22" s="113"/>
      <c r="J22" s="113"/>
      <c r="K22" s="113"/>
      <c r="L22" s="117"/>
    </row>
    <row r="23" ht="52" customHeight="1" spans="1:12">
      <c r="A23" s="113" t="s">
        <v>89</v>
      </c>
      <c r="B23" s="83">
        <v>19</v>
      </c>
      <c r="C23" s="113" t="s">
        <v>90</v>
      </c>
      <c r="D23" s="108" t="s">
        <v>59</v>
      </c>
      <c r="E23" s="108"/>
      <c r="F23" s="25"/>
      <c r="G23" s="113"/>
      <c r="H23" s="113"/>
      <c r="I23" s="113"/>
      <c r="J23" s="113"/>
      <c r="K23" s="113"/>
      <c r="L23" s="26"/>
    </row>
    <row r="24" ht="55" customHeight="1" spans="1:12">
      <c r="A24" s="113"/>
      <c r="B24" s="83">
        <v>20</v>
      </c>
      <c r="C24" s="113" t="s">
        <v>91</v>
      </c>
      <c r="D24" s="108" t="s">
        <v>59</v>
      </c>
      <c r="E24" s="108"/>
      <c r="F24" s="25"/>
      <c r="G24" s="113"/>
      <c r="H24" s="113"/>
      <c r="I24" s="113"/>
      <c r="J24" s="113"/>
      <c r="K24" s="113"/>
      <c r="L24" s="26"/>
    </row>
    <row r="25" ht="58" customHeight="1" spans="1:12">
      <c r="A25" s="113"/>
      <c r="B25" s="83">
        <v>21</v>
      </c>
      <c r="C25" s="113" t="s">
        <v>92</v>
      </c>
      <c r="D25" s="108" t="s">
        <v>59</v>
      </c>
      <c r="E25" s="108"/>
      <c r="F25" s="25"/>
      <c r="G25" s="113"/>
      <c r="H25" s="113"/>
      <c r="I25" s="113"/>
      <c r="J25" s="113"/>
      <c r="K25" s="113"/>
      <c r="L25" s="26"/>
    </row>
  </sheetData>
  <mergeCells count="13">
    <mergeCell ref="A1:L1"/>
    <mergeCell ref="A2:L2"/>
    <mergeCell ref="B3:F3"/>
    <mergeCell ref="H3:J3"/>
    <mergeCell ref="A3:A4"/>
    <mergeCell ref="A5:A8"/>
    <mergeCell ref="A9:A10"/>
    <mergeCell ref="A11:A14"/>
    <mergeCell ref="A15:A22"/>
    <mergeCell ref="A23:A25"/>
    <mergeCell ref="G3:G4"/>
    <mergeCell ref="K3:K4"/>
    <mergeCell ref="L3:L4"/>
  </mergeCells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5"/>
  <sheetViews>
    <sheetView workbookViewId="0">
      <pane xSplit="5" ySplit="4" topLeftCell="F20" activePane="bottomRight" state="frozen"/>
      <selection/>
      <selection pane="topRight"/>
      <selection pane="bottomLeft"/>
      <selection pane="bottomRight" activeCell="G12" sqref="G12"/>
    </sheetView>
  </sheetViews>
  <sheetFormatPr defaultColWidth="14" defaultRowHeight="12.75"/>
  <cols>
    <col min="1" max="1" width="9" customWidth="1"/>
    <col min="2" max="2" width="17" customWidth="1"/>
    <col min="3" max="3" width="6" customWidth="1"/>
    <col min="4" max="4" width="40" customWidth="1"/>
    <col min="5" max="5" width="11" customWidth="1"/>
    <col min="6" max="10" width="13" customWidth="1"/>
    <col min="11" max="11" width="14" customWidth="1"/>
    <col min="12" max="12" width="15" customWidth="1"/>
    <col min="13" max="13" width="21" customWidth="1"/>
    <col min="14" max="14" width="17" customWidth="1"/>
  </cols>
  <sheetData>
    <row r="1" ht="38" customHeight="1" spans="1:14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" customHeight="1" spans="1:14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36" customHeight="1" spans="1:14">
      <c r="A3" s="6" t="s">
        <v>53</v>
      </c>
      <c r="B3" s="6" t="s">
        <v>94</v>
      </c>
      <c r="C3" s="6" t="s">
        <v>1</v>
      </c>
      <c r="D3" s="7" t="s">
        <v>2</v>
      </c>
      <c r="E3" s="106" t="s">
        <v>3</v>
      </c>
      <c r="F3" s="8" t="s">
        <v>32</v>
      </c>
      <c r="G3" s="8" t="s">
        <v>4</v>
      </c>
      <c r="H3" s="107" t="s">
        <v>33</v>
      </c>
      <c r="I3" s="107"/>
      <c r="J3" s="8" t="s">
        <v>5</v>
      </c>
      <c r="K3" s="8"/>
      <c r="L3" s="8"/>
      <c r="M3" s="7" t="s">
        <v>34</v>
      </c>
      <c r="N3" s="7" t="s">
        <v>35</v>
      </c>
    </row>
    <row r="4" ht="38" customHeight="1" spans="1:14">
      <c r="A4" s="6"/>
      <c r="B4" s="6"/>
      <c r="C4" s="6"/>
      <c r="D4" s="7"/>
      <c r="E4" s="106"/>
      <c r="F4" s="8"/>
      <c r="G4" s="8"/>
      <c r="H4" s="107" t="s">
        <v>6</v>
      </c>
      <c r="I4" s="107" t="s">
        <v>36</v>
      </c>
      <c r="J4" s="8" t="s">
        <v>6</v>
      </c>
      <c r="K4" s="8" t="s">
        <v>7</v>
      </c>
      <c r="L4" s="8" t="s">
        <v>8</v>
      </c>
      <c r="M4" s="7"/>
      <c r="N4" s="7"/>
    </row>
    <row r="5" ht="15" spans="1:14">
      <c r="A5" s="55" t="s">
        <v>95</v>
      </c>
      <c r="B5" s="55" t="s">
        <v>96</v>
      </c>
      <c r="C5" s="81">
        <v>1</v>
      </c>
      <c r="D5" s="104" t="s">
        <v>97</v>
      </c>
      <c r="E5" s="108" t="s">
        <v>10</v>
      </c>
      <c r="F5" s="109"/>
      <c r="G5" s="25"/>
      <c r="H5" s="25"/>
      <c r="I5" s="25"/>
      <c r="J5" s="25"/>
      <c r="K5" s="25"/>
      <c r="L5" s="47"/>
      <c r="M5" s="25"/>
      <c r="N5" s="25"/>
    </row>
    <row r="6" ht="24" customHeight="1" spans="1:14">
      <c r="A6" s="55"/>
      <c r="B6" s="55"/>
      <c r="C6" s="81">
        <v>2</v>
      </c>
      <c r="D6" s="110" t="s">
        <v>98</v>
      </c>
      <c r="E6" s="108" t="s">
        <v>10</v>
      </c>
      <c r="F6" s="111"/>
      <c r="G6" s="23"/>
      <c r="H6" s="23"/>
      <c r="I6" s="23"/>
      <c r="J6" s="23"/>
      <c r="K6" s="23"/>
      <c r="L6" s="35"/>
      <c r="M6" s="23"/>
      <c r="N6" s="24"/>
    </row>
    <row r="7" ht="24" customHeight="1" spans="1:14">
      <c r="A7" s="55"/>
      <c r="B7" s="55"/>
      <c r="C7" s="81">
        <v>3</v>
      </c>
      <c r="D7" s="112" t="s">
        <v>99</v>
      </c>
      <c r="E7" s="108" t="s">
        <v>10</v>
      </c>
      <c r="F7" s="111"/>
      <c r="G7" s="23"/>
      <c r="H7" s="23"/>
      <c r="I7" s="23"/>
      <c r="J7" s="23"/>
      <c r="K7" s="23"/>
      <c r="L7" s="35"/>
      <c r="M7" s="23"/>
      <c r="N7" s="24"/>
    </row>
    <row r="8" ht="24" customHeight="1" spans="1:14">
      <c r="A8" s="55"/>
      <c r="B8" s="55"/>
      <c r="C8" s="81">
        <v>4</v>
      </c>
      <c r="D8" s="112" t="s">
        <v>100</v>
      </c>
      <c r="E8" s="108" t="s">
        <v>10</v>
      </c>
      <c r="F8" s="111"/>
      <c r="G8" s="23"/>
      <c r="H8" s="23"/>
      <c r="I8" s="23"/>
      <c r="J8" s="23"/>
      <c r="K8" s="23"/>
      <c r="L8" s="35"/>
      <c r="M8" s="23"/>
      <c r="N8" s="24"/>
    </row>
    <row r="9" ht="24" customHeight="1" spans="1:14">
      <c r="A9" s="55"/>
      <c r="B9" s="55"/>
      <c r="C9" s="81">
        <v>5</v>
      </c>
      <c r="D9" s="110" t="s">
        <v>101</v>
      </c>
      <c r="E9" s="108" t="s">
        <v>10</v>
      </c>
      <c r="F9" s="111"/>
      <c r="G9" s="23"/>
      <c r="H9" s="23"/>
      <c r="I9" s="23"/>
      <c r="J9" s="23"/>
      <c r="K9" s="23"/>
      <c r="L9" s="35"/>
      <c r="M9" s="23"/>
      <c r="N9" s="24"/>
    </row>
    <row r="10" ht="24" customHeight="1" spans="1:14">
      <c r="A10" s="55"/>
      <c r="B10" s="55"/>
      <c r="C10" s="81">
        <v>6</v>
      </c>
      <c r="D10" s="112" t="s">
        <v>102</v>
      </c>
      <c r="E10" s="108" t="s">
        <v>10</v>
      </c>
      <c r="F10" s="111"/>
      <c r="G10" s="23"/>
      <c r="H10" s="23"/>
      <c r="I10" s="23"/>
      <c r="J10" s="23"/>
      <c r="K10" s="23"/>
      <c r="L10" s="35"/>
      <c r="M10" s="23"/>
      <c r="N10" s="24"/>
    </row>
    <row r="11" ht="24" customHeight="1" spans="1:14">
      <c r="A11" s="55"/>
      <c r="B11" s="55"/>
      <c r="C11" s="81">
        <v>7</v>
      </c>
      <c r="D11" s="112" t="s">
        <v>103</v>
      </c>
      <c r="E11" s="108" t="s">
        <v>10</v>
      </c>
      <c r="F11" s="111"/>
      <c r="G11" s="23"/>
      <c r="H11" s="23"/>
      <c r="I11" s="23"/>
      <c r="J11" s="23"/>
      <c r="K11" s="23"/>
      <c r="L11" s="35"/>
      <c r="M11" s="23"/>
      <c r="N11" s="24"/>
    </row>
    <row r="12" ht="24" customHeight="1" spans="1:14">
      <c r="A12" s="55"/>
      <c r="B12" s="55"/>
      <c r="C12" s="81">
        <v>8</v>
      </c>
      <c r="D12" s="110" t="s">
        <v>104</v>
      </c>
      <c r="E12" s="108" t="s">
        <v>10</v>
      </c>
      <c r="F12" s="111"/>
      <c r="G12" s="23"/>
      <c r="H12" s="23"/>
      <c r="I12" s="23"/>
      <c r="J12" s="23"/>
      <c r="K12" s="23"/>
      <c r="L12" s="35"/>
      <c r="M12" s="23"/>
      <c r="N12" s="24"/>
    </row>
    <row r="13" ht="24" customHeight="1" spans="1:14">
      <c r="A13" s="55"/>
      <c r="B13" s="55"/>
      <c r="C13" s="81">
        <v>9</v>
      </c>
      <c r="D13" s="110" t="s">
        <v>105</v>
      </c>
      <c r="E13" s="108" t="s">
        <v>10</v>
      </c>
      <c r="F13" s="111"/>
      <c r="G13" s="23"/>
      <c r="H13" s="23"/>
      <c r="I13" s="23"/>
      <c r="J13" s="23"/>
      <c r="K13" s="23"/>
      <c r="L13" s="35"/>
      <c r="M13" s="23"/>
      <c r="N13" s="24"/>
    </row>
    <row r="14" ht="24" customHeight="1" spans="1:14">
      <c r="A14" s="55"/>
      <c r="B14" s="20" t="s">
        <v>106</v>
      </c>
      <c r="C14" s="81">
        <v>10</v>
      </c>
      <c r="D14" s="82" t="s">
        <v>107</v>
      </c>
      <c r="E14" s="108" t="s">
        <v>10</v>
      </c>
      <c r="F14" s="111"/>
      <c r="G14" s="23"/>
      <c r="H14" s="23"/>
      <c r="I14" s="23"/>
      <c r="J14" s="23"/>
      <c r="K14" s="23"/>
      <c r="L14" s="35"/>
      <c r="M14" s="23"/>
      <c r="N14" s="24"/>
    </row>
    <row r="15" ht="24" customHeight="1" spans="1:14">
      <c r="A15" s="55"/>
      <c r="B15" s="20"/>
      <c r="C15" s="81">
        <v>11</v>
      </c>
      <c r="D15" s="113" t="s">
        <v>108</v>
      </c>
      <c r="E15" s="108" t="s">
        <v>10</v>
      </c>
      <c r="F15" s="25"/>
      <c r="G15" s="25"/>
      <c r="H15" s="25"/>
      <c r="I15" s="25"/>
      <c r="J15" s="25"/>
      <c r="K15" s="25"/>
      <c r="L15" s="47"/>
      <c r="M15" s="25"/>
      <c r="N15" s="25"/>
    </row>
    <row r="16" ht="24" customHeight="1" spans="1:14">
      <c r="A16" s="55"/>
      <c r="B16" s="20"/>
      <c r="C16" s="81">
        <v>12</v>
      </c>
      <c r="D16" s="113" t="s">
        <v>109</v>
      </c>
      <c r="E16" s="108" t="s">
        <v>10</v>
      </c>
      <c r="F16" s="25"/>
      <c r="G16" s="25"/>
      <c r="H16" s="25"/>
      <c r="I16" s="25"/>
      <c r="J16" s="25"/>
      <c r="K16" s="25"/>
      <c r="L16" s="47"/>
      <c r="M16" s="25"/>
      <c r="N16" s="25"/>
    </row>
    <row r="17" ht="15" spans="1:14">
      <c r="A17" s="55"/>
      <c r="B17" s="55" t="s">
        <v>110</v>
      </c>
      <c r="C17" s="81">
        <v>13</v>
      </c>
      <c r="D17" s="113" t="s">
        <v>111</v>
      </c>
      <c r="E17" s="108" t="s">
        <v>10</v>
      </c>
      <c r="F17" s="25"/>
      <c r="G17" s="25"/>
      <c r="H17" s="25"/>
      <c r="I17" s="25"/>
      <c r="J17" s="25"/>
      <c r="K17" s="25"/>
      <c r="L17" s="47"/>
      <c r="M17" s="25"/>
      <c r="N17" s="25"/>
    </row>
    <row r="18" ht="15" spans="1:14">
      <c r="A18" s="55"/>
      <c r="B18" s="55"/>
      <c r="C18" s="81">
        <v>14</v>
      </c>
      <c r="D18" s="88" t="s">
        <v>112</v>
      </c>
      <c r="E18" s="108" t="s">
        <v>10</v>
      </c>
      <c r="F18" s="25" t="s">
        <v>38</v>
      </c>
      <c r="G18" s="25"/>
      <c r="H18" s="25"/>
      <c r="I18" s="25"/>
      <c r="J18" s="25"/>
      <c r="K18" s="25"/>
      <c r="L18" s="47"/>
      <c r="M18" s="25"/>
      <c r="N18" s="25" t="s">
        <v>113</v>
      </c>
    </row>
    <row r="19" ht="15" spans="1:14">
      <c r="A19" s="55"/>
      <c r="B19" s="55"/>
      <c r="C19" s="81">
        <v>15</v>
      </c>
      <c r="D19" s="113" t="s">
        <v>114</v>
      </c>
      <c r="E19" s="108" t="s">
        <v>10</v>
      </c>
      <c r="F19" s="25"/>
      <c r="G19" s="25"/>
      <c r="H19" s="25"/>
      <c r="I19" s="25"/>
      <c r="J19" s="25"/>
      <c r="K19" s="25"/>
      <c r="L19" s="47"/>
      <c r="M19" s="25"/>
      <c r="N19" s="25"/>
    </row>
    <row r="20" ht="24" customHeight="1" spans="1:14">
      <c r="A20" s="55"/>
      <c r="B20" s="55"/>
      <c r="C20" s="81">
        <v>16</v>
      </c>
      <c r="D20" s="88" t="s">
        <v>115</v>
      </c>
      <c r="E20" s="108" t="s">
        <v>10</v>
      </c>
      <c r="F20" s="25"/>
      <c r="G20" s="25"/>
      <c r="H20" s="25"/>
      <c r="I20" s="25"/>
      <c r="J20" s="25"/>
      <c r="K20" s="25"/>
      <c r="L20" s="47"/>
      <c r="M20" s="25"/>
      <c r="N20" s="25"/>
    </row>
    <row r="21" ht="15" spans="1:14">
      <c r="A21" s="55"/>
      <c r="B21" s="55"/>
      <c r="C21" s="81">
        <v>17</v>
      </c>
      <c r="D21" s="82" t="s">
        <v>116</v>
      </c>
      <c r="E21" s="108" t="s">
        <v>10</v>
      </c>
      <c r="F21" s="25"/>
      <c r="G21" s="25"/>
      <c r="H21" s="25"/>
      <c r="I21" s="25"/>
      <c r="J21" s="25"/>
      <c r="K21" s="25"/>
      <c r="L21" s="47"/>
      <c r="M21" s="25"/>
      <c r="N21" s="25"/>
    </row>
    <row r="22" ht="24" customHeight="1" spans="1:14">
      <c r="A22" s="55"/>
      <c r="B22" s="55"/>
      <c r="C22" s="81">
        <v>18</v>
      </c>
      <c r="D22" s="88" t="s">
        <v>117</v>
      </c>
      <c r="E22" s="108" t="s">
        <v>10</v>
      </c>
      <c r="F22" s="25"/>
      <c r="G22" s="25"/>
      <c r="H22" s="25"/>
      <c r="I22" s="25"/>
      <c r="J22" s="25"/>
      <c r="K22" s="25"/>
      <c r="L22" s="47"/>
      <c r="M22" s="25"/>
      <c r="N22" s="25"/>
    </row>
    <row r="23" ht="24" customHeight="1" spans="1:14">
      <c r="A23" s="55"/>
      <c r="B23" s="55"/>
      <c r="C23" s="81">
        <v>19</v>
      </c>
      <c r="D23" s="113" t="s">
        <v>118</v>
      </c>
      <c r="E23" s="108" t="s">
        <v>10</v>
      </c>
      <c r="F23" s="25"/>
      <c r="G23" s="25"/>
      <c r="H23" s="25"/>
      <c r="I23" s="25"/>
      <c r="J23" s="25"/>
      <c r="K23" s="25"/>
      <c r="L23" s="47"/>
      <c r="M23" s="25"/>
      <c r="N23" s="25"/>
    </row>
    <row r="24" ht="24" customHeight="1" spans="1:14">
      <c r="A24" s="55"/>
      <c r="B24" s="55"/>
      <c r="C24" s="81">
        <v>20</v>
      </c>
      <c r="D24" s="88" t="s">
        <v>119</v>
      </c>
      <c r="E24" s="108" t="s">
        <v>10</v>
      </c>
      <c r="F24" s="25"/>
      <c r="G24" s="25"/>
      <c r="H24" s="25"/>
      <c r="I24" s="25"/>
      <c r="J24" s="25"/>
      <c r="K24" s="25"/>
      <c r="L24" s="47"/>
      <c r="M24" s="25"/>
      <c r="N24" s="25"/>
    </row>
    <row r="25" ht="15.75" spans="1:14">
      <c r="A25" s="55"/>
      <c r="B25" s="55"/>
      <c r="C25" s="81">
        <v>21</v>
      </c>
      <c r="D25" s="114" t="s">
        <v>120</v>
      </c>
      <c r="E25" s="108" t="s">
        <v>10</v>
      </c>
      <c r="F25" s="25"/>
      <c r="G25" s="25"/>
      <c r="H25" s="25"/>
      <c r="I25" s="25"/>
      <c r="J25" s="25"/>
      <c r="K25" s="25"/>
      <c r="L25" s="47"/>
      <c r="M25" s="25"/>
      <c r="N25" s="25"/>
    </row>
  </sheetData>
  <mergeCells count="17">
    <mergeCell ref="A1:N1"/>
    <mergeCell ref="A2:N2"/>
    <mergeCell ref="H3:I3"/>
    <mergeCell ref="J3:L3"/>
    <mergeCell ref="A3:A4"/>
    <mergeCell ref="A5:A25"/>
    <mergeCell ref="B3:B4"/>
    <mergeCell ref="B5:B13"/>
    <mergeCell ref="B14:B16"/>
    <mergeCell ref="B17:B25"/>
    <mergeCell ref="C3:C4"/>
    <mergeCell ref="D3:D4"/>
    <mergeCell ref="E3:E4"/>
    <mergeCell ref="F3:F4"/>
    <mergeCell ref="G3:G4"/>
    <mergeCell ref="M3:M4"/>
    <mergeCell ref="N3:N4"/>
  </mergeCells>
  <pageMargins left="0.75" right="0.75" top="1" bottom="1" header="0.5" footer="0.5"/>
  <headerFooter/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1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M9" sqref="M9"/>
    </sheetView>
  </sheetViews>
  <sheetFormatPr defaultColWidth="14" defaultRowHeight="12.75"/>
  <cols>
    <col min="1" max="1" width="6" customWidth="1"/>
    <col min="2" max="2" width="21" customWidth="1"/>
    <col min="3" max="3" width="6" customWidth="1"/>
    <col min="4" max="4" width="27" customWidth="1"/>
    <col min="5" max="5" width="11" customWidth="1"/>
    <col min="6" max="9" width="12" customWidth="1"/>
  </cols>
  <sheetData>
    <row r="1" ht="38" customHeight="1" spans="1:9">
      <c r="A1" s="1" t="s">
        <v>93</v>
      </c>
      <c r="B1" s="1"/>
      <c r="C1" s="1"/>
      <c r="D1" s="1"/>
      <c r="E1" s="1"/>
      <c r="F1" s="1"/>
      <c r="G1" s="1"/>
      <c r="H1" s="1"/>
      <c r="I1" s="1"/>
    </row>
    <row r="2" ht="36" customHeight="1" spans="1:9">
      <c r="A2" s="6" t="s">
        <v>53</v>
      </c>
      <c r="B2" s="6" t="s">
        <v>94</v>
      </c>
      <c r="C2" s="6" t="s">
        <v>1</v>
      </c>
      <c r="D2" s="7" t="s">
        <v>2</v>
      </c>
      <c r="E2" s="7" t="s">
        <v>3</v>
      </c>
      <c r="F2" s="7" t="s">
        <v>4</v>
      </c>
      <c r="G2" s="8" t="s">
        <v>5</v>
      </c>
      <c r="H2" s="8"/>
      <c r="I2" s="8"/>
    </row>
    <row r="3" ht="38" customHeight="1" spans="1:9">
      <c r="A3" s="6"/>
      <c r="B3" s="6"/>
      <c r="C3" s="6"/>
      <c r="D3" s="7"/>
      <c r="E3" s="7"/>
      <c r="F3" s="7"/>
      <c r="G3" s="13" t="s">
        <v>6</v>
      </c>
      <c r="H3" s="13" t="s">
        <v>7</v>
      </c>
      <c r="I3" s="13" t="s">
        <v>8</v>
      </c>
    </row>
    <row r="4" ht="24" customHeight="1" spans="1:9">
      <c r="A4" s="55" t="s">
        <v>121</v>
      </c>
      <c r="B4" s="101" t="s">
        <v>122</v>
      </c>
      <c r="C4" s="102">
        <v>1</v>
      </c>
      <c r="D4" s="82" t="s">
        <v>123</v>
      </c>
      <c r="E4" s="83" t="s">
        <v>10</v>
      </c>
      <c r="F4" s="25"/>
      <c r="G4" s="25"/>
      <c r="H4" s="25"/>
      <c r="I4" s="47"/>
    </row>
    <row r="5" ht="24" customHeight="1" spans="1:9">
      <c r="A5" s="55"/>
      <c r="B5" s="101"/>
      <c r="C5" s="102">
        <v>2</v>
      </c>
      <c r="D5" s="103" t="s">
        <v>124</v>
      </c>
      <c r="E5" s="83" t="s">
        <v>10</v>
      </c>
      <c r="F5" s="23"/>
      <c r="G5" s="24"/>
      <c r="H5" s="23"/>
      <c r="I5" s="35"/>
    </row>
    <row r="6" ht="24" customHeight="1" spans="1:9">
      <c r="A6" s="55"/>
      <c r="B6" s="101"/>
      <c r="C6" s="102">
        <v>3</v>
      </c>
      <c r="D6" s="103" t="s">
        <v>125</v>
      </c>
      <c r="E6" s="83" t="s">
        <v>10</v>
      </c>
      <c r="F6" s="23"/>
      <c r="G6" s="24"/>
      <c r="H6" s="23"/>
      <c r="I6" s="35"/>
    </row>
    <row r="7" ht="24" customHeight="1" spans="1:9">
      <c r="A7" s="55"/>
      <c r="B7" s="101"/>
      <c r="C7" s="102">
        <v>4</v>
      </c>
      <c r="D7" s="103" t="s">
        <v>126</v>
      </c>
      <c r="E7" s="83" t="s">
        <v>10</v>
      </c>
      <c r="F7" s="23"/>
      <c r="G7" s="24"/>
      <c r="H7" s="23"/>
      <c r="I7" s="35"/>
    </row>
    <row r="8" ht="24" customHeight="1" spans="1:9">
      <c r="A8" s="55"/>
      <c r="B8" s="101"/>
      <c r="C8" s="102">
        <v>5</v>
      </c>
      <c r="D8" s="104" t="s">
        <v>127</v>
      </c>
      <c r="E8" s="83" t="s">
        <v>10</v>
      </c>
      <c r="F8" s="23"/>
      <c r="G8" s="24"/>
      <c r="H8" s="23"/>
      <c r="I8" s="35"/>
    </row>
    <row r="9" ht="24" customHeight="1" spans="1:9">
      <c r="A9" s="55"/>
      <c r="B9" s="101"/>
      <c r="C9" s="102">
        <v>6</v>
      </c>
      <c r="D9" s="104" t="s">
        <v>128</v>
      </c>
      <c r="E9" s="83" t="s">
        <v>59</v>
      </c>
      <c r="F9" s="23"/>
      <c r="G9" s="24"/>
      <c r="H9" s="23"/>
      <c r="I9" s="35"/>
    </row>
    <row r="10" ht="24" customHeight="1" spans="1:9">
      <c r="A10" s="55"/>
      <c r="B10" s="101" t="s">
        <v>129</v>
      </c>
      <c r="C10" s="102">
        <v>7</v>
      </c>
      <c r="D10" s="82" t="s">
        <v>130</v>
      </c>
      <c r="E10" s="83" t="s">
        <v>10</v>
      </c>
      <c r="F10" s="25"/>
      <c r="G10" s="25"/>
      <c r="H10" s="25"/>
      <c r="I10" s="47"/>
    </row>
    <row r="11" ht="24" customHeight="1" spans="1:9">
      <c r="A11" s="55"/>
      <c r="B11" s="101"/>
      <c r="C11" s="102">
        <v>8</v>
      </c>
      <c r="D11" s="103" t="s">
        <v>131</v>
      </c>
      <c r="E11" s="83" t="s">
        <v>10</v>
      </c>
      <c r="F11" s="23"/>
      <c r="G11" s="24"/>
      <c r="H11" s="23"/>
      <c r="I11" s="35"/>
    </row>
    <row r="12" ht="24" customHeight="1" spans="1:9">
      <c r="A12" s="55"/>
      <c r="B12" s="101"/>
      <c r="C12" s="102">
        <v>9</v>
      </c>
      <c r="D12" s="103" t="s">
        <v>132</v>
      </c>
      <c r="E12" s="83" t="s">
        <v>10</v>
      </c>
      <c r="F12" s="23"/>
      <c r="G12" s="24"/>
      <c r="H12" s="23"/>
      <c r="I12" s="35"/>
    </row>
    <row r="13" ht="24" customHeight="1" spans="1:9">
      <c r="A13" s="55"/>
      <c r="B13" s="101"/>
      <c r="C13" s="102">
        <v>10</v>
      </c>
      <c r="D13" s="103" t="s">
        <v>133</v>
      </c>
      <c r="E13" s="83" t="s">
        <v>10</v>
      </c>
      <c r="F13" s="23"/>
      <c r="G13" s="24"/>
      <c r="H13" s="23"/>
      <c r="I13" s="35"/>
    </row>
    <row r="14" ht="24" customHeight="1" spans="1:9">
      <c r="A14" s="55"/>
      <c r="B14" s="101"/>
      <c r="C14" s="102">
        <v>11</v>
      </c>
      <c r="D14" s="104" t="s">
        <v>134</v>
      </c>
      <c r="E14" s="83" t="s">
        <v>10</v>
      </c>
      <c r="F14" s="23"/>
      <c r="G14" s="24"/>
      <c r="H14" s="23"/>
      <c r="I14" s="35"/>
    </row>
    <row r="15" ht="24" customHeight="1" spans="1:9">
      <c r="A15" s="55"/>
      <c r="B15" s="101"/>
      <c r="C15" s="102">
        <v>12</v>
      </c>
      <c r="D15" s="104" t="s">
        <v>135</v>
      </c>
      <c r="E15" s="83" t="s">
        <v>59</v>
      </c>
      <c r="F15" s="23"/>
      <c r="G15" s="24"/>
      <c r="H15" s="23"/>
      <c r="I15" s="35"/>
    </row>
    <row r="16" ht="24" customHeight="1" spans="1:9">
      <c r="A16" s="55"/>
      <c r="B16" s="101" t="s">
        <v>136</v>
      </c>
      <c r="C16" s="102">
        <v>13</v>
      </c>
      <c r="D16" s="82" t="s">
        <v>137</v>
      </c>
      <c r="E16" s="83" t="s">
        <v>10</v>
      </c>
      <c r="F16" s="25"/>
      <c r="G16" s="25"/>
      <c r="H16" s="25"/>
      <c r="I16" s="47"/>
    </row>
    <row r="17" ht="24" customHeight="1" spans="1:9">
      <c r="A17" s="55"/>
      <c r="B17" s="101"/>
      <c r="C17" s="102">
        <v>14</v>
      </c>
      <c r="D17" s="103" t="s">
        <v>138</v>
      </c>
      <c r="E17" s="83" t="s">
        <v>10</v>
      </c>
      <c r="F17" s="23"/>
      <c r="G17" s="24"/>
      <c r="H17" s="23"/>
      <c r="I17" s="35"/>
    </row>
    <row r="18" ht="24" customHeight="1" spans="1:9">
      <c r="A18" s="55"/>
      <c r="B18" s="101"/>
      <c r="C18" s="102">
        <v>15</v>
      </c>
      <c r="D18" s="103" t="s">
        <v>139</v>
      </c>
      <c r="E18" s="83" t="s">
        <v>10</v>
      </c>
      <c r="F18" s="23"/>
      <c r="G18" s="24"/>
      <c r="H18" s="23"/>
      <c r="I18" s="35"/>
    </row>
    <row r="19" ht="24" customHeight="1" spans="1:9">
      <c r="A19" s="55"/>
      <c r="B19" s="101"/>
      <c r="C19" s="102">
        <v>16</v>
      </c>
      <c r="D19" s="103" t="s">
        <v>140</v>
      </c>
      <c r="E19" s="83" t="s">
        <v>10</v>
      </c>
      <c r="F19" s="23"/>
      <c r="G19" s="24"/>
      <c r="H19" s="23"/>
      <c r="I19" s="35"/>
    </row>
    <row r="20" ht="24" customHeight="1" spans="1:9">
      <c r="A20" s="55"/>
      <c r="B20" s="101"/>
      <c r="C20" s="102">
        <v>17</v>
      </c>
      <c r="D20" s="104" t="s">
        <v>141</v>
      </c>
      <c r="E20" s="83" t="s">
        <v>10</v>
      </c>
      <c r="F20" s="23"/>
      <c r="G20" s="24"/>
      <c r="H20" s="23"/>
      <c r="I20" s="35"/>
    </row>
    <row r="21" ht="15.75" spans="1:9">
      <c r="A21" s="55"/>
      <c r="B21" s="101"/>
      <c r="C21" s="102">
        <v>18</v>
      </c>
      <c r="D21" s="105" t="s">
        <v>142</v>
      </c>
      <c r="E21" s="83" t="s">
        <v>59</v>
      </c>
      <c r="F21" s="23"/>
      <c r="G21" s="24"/>
      <c r="H21" s="23"/>
      <c r="I21" s="35"/>
    </row>
  </sheetData>
  <mergeCells count="12">
    <mergeCell ref="A1:I1"/>
    <mergeCell ref="G2:I2"/>
    <mergeCell ref="A2:A3"/>
    <mergeCell ref="A4:A21"/>
    <mergeCell ref="B2:B3"/>
    <mergeCell ref="B4:B9"/>
    <mergeCell ref="B10:B15"/>
    <mergeCell ref="B16:B21"/>
    <mergeCell ref="C2:C3"/>
    <mergeCell ref="D2:D3"/>
    <mergeCell ref="E2:E3"/>
    <mergeCell ref="F2:F3"/>
  </mergeCells>
  <pageMargins left="0.75" right="0.75" top="1" bottom="1" header="0.5" footer="0.5"/>
  <headerFooter/>
  <drawing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4"/>
  <sheetViews>
    <sheetView workbookViewId="0">
      <pane xSplit="5" ySplit="4" topLeftCell="F5" activePane="bottomRight" state="frozen"/>
      <selection/>
      <selection pane="topRight"/>
      <selection pane="bottomLeft"/>
      <selection pane="bottomRight" activeCell="M1" sqref="M$1:DJ$1048576"/>
    </sheetView>
  </sheetViews>
  <sheetFormatPr defaultColWidth="14" defaultRowHeight="12.75"/>
  <cols>
    <col min="1" max="1" width="6" customWidth="1"/>
    <col min="2" max="2" width="14" customWidth="1"/>
    <col min="3" max="3" width="6" customWidth="1"/>
    <col min="4" max="4" width="34" customWidth="1"/>
    <col min="5" max="5" width="13" customWidth="1"/>
    <col min="6" max="6" width="17" customWidth="1"/>
    <col min="7" max="7" width="21" customWidth="1"/>
    <col min="8" max="11" width="12" customWidth="1"/>
    <col min="12" max="12" width="23" customWidth="1"/>
  </cols>
  <sheetData>
    <row r="1" ht="38" customHeight="1" spans="1:12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" customHeight="1" spans="1:12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5" customHeight="1" spans="1:12">
      <c r="A3" s="6" t="s">
        <v>53</v>
      </c>
      <c r="B3" s="6" t="s">
        <v>94</v>
      </c>
      <c r="C3" s="6" t="s">
        <v>1</v>
      </c>
      <c r="D3" s="7" t="s">
        <v>2</v>
      </c>
      <c r="E3" s="7" t="s">
        <v>3</v>
      </c>
      <c r="F3" s="8" t="s">
        <v>32</v>
      </c>
      <c r="G3" s="8" t="s">
        <v>4</v>
      </c>
      <c r="H3" s="8" t="s">
        <v>5</v>
      </c>
      <c r="I3" s="8"/>
      <c r="J3" s="8"/>
      <c r="K3" s="7" t="s">
        <v>34</v>
      </c>
      <c r="L3" s="7" t="s">
        <v>35</v>
      </c>
    </row>
    <row r="4" ht="25" customHeight="1" spans="1:12">
      <c r="A4" s="6"/>
      <c r="B4" s="6"/>
      <c r="C4" s="6"/>
      <c r="D4" s="7"/>
      <c r="E4" s="7"/>
      <c r="F4" s="8"/>
      <c r="G4" s="8"/>
      <c r="H4" s="13" t="s">
        <v>6</v>
      </c>
      <c r="I4" s="13" t="s">
        <v>7</v>
      </c>
      <c r="J4" s="13" t="s">
        <v>8</v>
      </c>
      <c r="K4" s="7"/>
      <c r="L4" s="7"/>
    </row>
    <row r="5" ht="24" customHeight="1" spans="1:12">
      <c r="A5" s="55" t="s">
        <v>143</v>
      </c>
      <c r="B5" s="17" t="s">
        <v>144</v>
      </c>
      <c r="C5" s="17">
        <v>1</v>
      </c>
      <c r="D5" s="29" t="s">
        <v>145</v>
      </c>
      <c r="E5" s="92" t="s">
        <v>10</v>
      </c>
      <c r="F5" s="34"/>
      <c r="G5" s="22"/>
      <c r="H5" s="23"/>
      <c r="I5" s="23"/>
      <c r="J5" s="24"/>
      <c r="K5" s="25"/>
      <c r="L5" s="25"/>
    </row>
    <row r="6" ht="24" customHeight="1" spans="1:12">
      <c r="A6" s="55"/>
      <c r="B6" s="17"/>
      <c r="C6" s="17">
        <v>2</v>
      </c>
      <c r="D6" s="93" t="s">
        <v>146</v>
      </c>
      <c r="E6" s="92" t="s">
        <v>10</v>
      </c>
      <c r="F6" s="34"/>
      <c r="G6" s="22"/>
      <c r="H6" s="23"/>
      <c r="I6" s="23"/>
      <c r="J6" s="24"/>
      <c r="K6" s="25"/>
      <c r="L6" s="25"/>
    </row>
    <row r="7" ht="24" customHeight="1" spans="1:12">
      <c r="A7" s="55"/>
      <c r="B7" s="17"/>
      <c r="C7" s="17">
        <v>3</v>
      </c>
      <c r="D7" s="94" t="s">
        <v>147</v>
      </c>
      <c r="E7" s="92" t="s">
        <v>10</v>
      </c>
      <c r="F7" s="34"/>
      <c r="G7" s="22"/>
      <c r="H7" s="23"/>
      <c r="I7" s="23"/>
      <c r="J7" s="24"/>
      <c r="K7" s="25"/>
      <c r="L7" s="25"/>
    </row>
    <row r="8" ht="24" customHeight="1" spans="1:12">
      <c r="A8" s="55"/>
      <c r="B8" s="17"/>
      <c r="C8" s="17">
        <v>4</v>
      </c>
      <c r="D8" s="93" t="s">
        <v>148</v>
      </c>
      <c r="E8" s="92" t="s">
        <v>10</v>
      </c>
      <c r="F8" s="34"/>
      <c r="G8" s="22"/>
      <c r="H8" s="23"/>
      <c r="I8" s="23"/>
      <c r="J8" s="24"/>
      <c r="K8" s="25"/>
      <c r="L8" s="25"/>
    </row>
    <row r="9" ht="24" customHeight="1" spans="1:12">
      <c r="A9" s="55"/>
      <c r="B9" s="17"/>
      <c r="C9" s="17">
        <v>5</v>
      </c>
      <c r="D9" s="94" t="s">
        <v>149</v>
      </c>
      <c r="E9" s="92" t="s">
        <v>10</v>
      </c>
      <c r="F9" s="34"/>
      <c r="G9" s="22"/>
      <c r="H9" s="23"/>
      <c r="I9" s="23"/>
      <c r="J9" s="24"/>
      <c r="K9" s="25"/>
      <c r="L9" s="25"/>
    </row>
    <row r="10" ht="15" spans="1:12">
      <c r="A10" s="55"/>
      <c r="B10" s="17" t="s">
        <v>150</v>
      </c>
      <c r="C10" s="17">
        <v>6</v>
      </c>
      <c r="D10" s="94" t="s">
        <v>151</v>
      </c>
      <c r="E10" s="92" t="s">
        <v>10</v>
      </c>
      <c r="F10" s="34"/>
      <c r="G10" s="22"/>
      <c r="H10" s="23"/>
      <c r="I10" s="23"/>
      <c r="J10" s="24"/>
      <c r="K10" s="25"/>
      <c r="L10" s="25"/>
    </row>
    <row r="11" ht="15" spans="1:12">
      <c r="A11" s="55"/>
      <c r="B11" s="17"/>
      <c r="C11" s="17">
        <v>7</v>
      </c>
      <c r="D11" s="95" t="s">
        <v>152</v>
      </c>
      <c r="E11" s="92" t="s">
        <v>10</v>
      </c>
      <c r="F11" s="34" t="s">
        <v>153</v>
      </c>
      <c r="G11" s="22"/>
      <c r="H11" s="23"/>
      <c r="I11" s="23"/>
      <c r="J11" s="24"/>
      <c r="K11" s="25"/>
      <c r="L11" s="25" t="s">
        <v>113</v>
      </c>
    </row>
    <row r="12" ht="15" spans="1:12">
      <c r="A12" s="55"/>
      <c r="B12" s="17"/>
      <c r="C12" s="17">
        <v>8</v>
      </c>
      <c r="D12" s="95" t="s">
        <v>154</v>
      </c>
      <c r="E12" s="92" t="s">
        <v>10</v>
      </c>
      <c r="F12" s="34"/>
      <c r="G12" s="22"/>
      <c r="H12" s="23"/>
      <c r="I12" s="23"/>
      <c r="J12" s="24"/>
      <c r="K12" s="25"/>
      <c r="L12" s="25"/>
    </row>
    <row r="13" ht="24" customHeight="1" spans="1:12">
      <c r="A13" s="55"/>
      <c r="B13" s="17" t="s">
        <v>155</v>
      </c>
      <c r="C13" s="17">
        <v>9</v>
      </c>
      <c r="D13" s="29" t="s">
        <v>156</v>
      </c>
      <c r="E13" s="92" t="s">
        <v>10</v>
      </c>
      <c r="F13" s="34"/>
      <c r="G13" s="22"/>
      <c r="H13" s="23"/>
      <c r="I13" s="23"/>
      <c r="J13" s="24"/>
      <c r="K13" s="25"/>
      <c r="L13" s="25"/>
    </row>
    <row r="14" ht="24" customHeight="1" spans="1:12">
      <c r="A14" s="55"/>
      <c r="B14" s="17"/>
      <c r="C14" s="17">
        <v>10</v>
      </c>
      <c r="D14" s="96" t="s">
        <v>157</v>
      </c>
      <c r="E14" s="92" t="s">
        <v>10</v>
      </c>
      <c r="F14" s="34" t="s">
        <v>38</v>
      </c>
      <c r="G14" s="22"/>
      <c r="H14" s="23"/>
      <c r="I14" s="23"/>
      <c r="J14" s="24"/>
      <c r="K14" s="25"/>
      <c r="L14" s="25" t="s">
        <v>113</v>
      </c>
    </row>
    <row r="15" ht="41" customHeight="1" spans="1:12">
      <c r="A15" s="55"/>
      <c r="B15" s="17"/>
      <c r="C15" s="17">
        <v>11</v>
      </c>
      <c r="D15" s="97" t="s">
        <v>158</v>
      </c>
      <c r="E15" s="92" t="s">
        <v>59</v>
      </c>
      <c r="F15" s="46" t="s">
        <v>159</v>
      </c>
      <c r="G15" s="98" t="s">
        <v>160</v>
      </c>
      <c r="H15" s="23"/>
      <c r="I15" s="23"/>
      <c r="J15" s="24"/>
      <c r="K15" s="25"/>
      <c r="L15" s="25"/>
    </row>
    <row r="16" ht="41" customHeight="1" spans="1:12">
      <c r="A16" s="55"/>
      <c r="B16" s="17"/>
      <c r="C16" s="17">
        <v>12</v>
      </c>
      <c r="D16" s="97" t="s">
        <v>161</v>
      </c>
      <c r="E16" s="92" t="s">
        <v>10</v>
      </c>
      <c r="F16" s="46" t="s">
        <v>159</v>
      </c>
      <c r="G16" s="98"/>
      <c r="H16" s="23"/>
      <c r="I16" s="23"/>
      <c r="J16" s="24"/>
      <c r="K16" s="25"/>
      <c r="L16" s="25"/>
    </row>
    <row r="17" ht="24" customHeight="1" spans="1:12">
      <c r="A17" s="55"/>
      <c r="B17" s="17"/>
      <c r="C17" s="17">
        <v>13</v>
      </c>
      <c r="D17" s="94" t="s">
        <v>162</v>
      </c>
      <c r="E17" s="92" t="s">
        <v>10</v>
      </c>
      <c r="F17" s="34"/>
      <c r="G17" s="22"/>
      <c r="H17" s="23"/>
      <c r="I17" s="23"/>
      <c r="J17" s="24"/>
      <c r="K17" s="25"/>
      <c r="L17" s="25"/>
    </row>
    <row r="18" ht="24" customHeight="1" spans="1:12">
      <c r="A18" s="55"/>
      <c r="B18" s="17"/>
      <c r="C18" s="17">
        <v>14</v>
      </c>
      <c r="D18" s="93" t="s">
        <v>163</v>
      </c>
      <c r="E18" s="92" t="s">
        <v>10</v>
      </c>
      <c r="F18" s="34"/>
      <c r="G18" s="22"/>
      <c r="H18" s="23"/>
      <c r="I18" s="23"/>
      <c r="J18" s="24"/>
      <c r="K18" s="25"/>
      <c r="L18" s="25"/>
    </row>
    <row r="19" ht="24" customHeight="1" spans="1:12">
      <c r="A19" s="55"/>
      <c r="B19" s="17"/>
      <c r="C19" s="17">
        <v>15</v>
      </c>
      <c r="D19" s="94" t="s">
        <v>164</v>
      </c>
      <c r="E19" s="92" t="s">
        <v>10</v>
      </c>
      <c r="F19" s="34"/>
      <c r="G19" s="22"/>
      <c r="H19" s="24"/>
      <c r="I19" s="24"/>
      <c r="J19" s="32"/>
      <c r="K19" s="33"/>
      <c r="L19" s="33"/>
    </row>
    <row r="20" ht="24" customHeight="1" spans="1:12">
      <c r="A20" s="55"/>
      <c r="B20" s="17"/>
      <c r="C20" s="17">
        <v>16</v>
      </c>
      <c r="D20" s="93" t="s">
        <v>165</v>
      </c>
      <c r="E20" s="92" t="s">
        <v>10</v>
      </c>
      <c r="F20" s="34"/>
      <c r="G20" s="22"/>
      <c r="H20" s="23"/>
      <c r="I20" s="23"/>
      <c r="J20" s="23"/>
      <c r="K20" s="24"/>
      <c r="L20" s="24"/>
    </row>
    <row r="21" ht="30" customHeight="1" spans="1:12">
      <c r="A21" s="55"/>
      <c r="B21" s="92" t="s">
        <v>166</v>
      </c>
      <c r="C21" s="17">
        <v>17</v>
      </c>
      <c r="D21" s="94" t="s">
        <v>167</v>
      </c>
      <c r="E21" s="92" t="s">
        <v>10</v>
      </c>
      <c r="F21" s="89"/>
      <c r="G21" s="25"/>
      <c r="H21" s="25"/>
      <c r="I21" s="25"/>
      <c r="J21" s="25"/>
      <c r="K21" s="25"/>
      <c r="L21" s="25"/>
    </row>
    <row r="22" ht="15" spans="1:12">
      <c r="A22" s="55"/>
      <c r="B22" s="92"/>
      <c r="C22" s="17">
        <v>18</v>
      </c>
      <c r="D22" s="94" t="s">
        <v>168</v>
      </c>
      <c r="E22" s="92" t="s">
        <v>10</v>
      </c>
      <c r="F22" s="89"/>
      <c r="G22" s="25"/>
      <c r="H22" s="25"/>
      <c r="I22" s="25"/>
      <c r="J22" s="25"/>
      <c r="K22" s="25"/>
      <c r="L22" s="25"/>
    </row>
    <row r="23" ht="15" spans="1:12">
      <c r="A23" s="55"/>
      <c r="B23" s="92"/>
      <c r="C23" s="17">
        <v>19</v>
      </c>
      <c r="D23" s="94" t="s">
        <v>169</v>
      </c>
      <c r="E23" s="92" t="s">
        <v>10</v>
      </c>
      <c r="F23" s="89"/>
      <c r="G23" s="25"/>
      <c r="H23" s="25"/>
      <c r="I23" s="25"/>
      <c r="J23" s="25"/>
      <c r="K23" s="25"/>
      <c r="L23" s="25"/>
    </row>
    <row r="24" ht="40" customHeight="1" spans="1:12">
      <c r="A24" s="55"/>
      <c r="B24" s="92"/>
      <c r="C24" s="17">
        <v>20</v>
      </c>
      <c r="D24" s="94" t="s">
        <v>170</v>
      </c>
      <c r="E24" s="92" t="s">
        <v>10</v>
      </c>
      <c r="F24" s="89"/>
      <c r="G24" s="25"/>
      <c r="H24" s="25"/>
      <c r="I24" s="25"/>
      <c r="J24" s="25"/>
      <c r="K24" s="25"/>
      <c r="L24" s="25"/>
    </row>
    <row r="25" ht="15" spans="1:12">
      <c r="A25" s="55"/>
      <c r="B25" s="92"/>
      <c r="C25" s="17">
        <v>21</v>
      </c>
      <c r="D25" s="99" t="s">
        <v>171</v>
      </c>
      <c r="E25" s="92" t="s">
        <v>10</v>
      </c>
      <c r="F25" s="89" t="s">
        <v>172</v>
      </c>
      <c r="G25" s="25"/>
      <c r="H25" s="25"/>
      <c r="I25" s="25"/>
      <c r="J25" s="25"/>
      <c r="K25" s="25"/>
      <c r="L25" s="25" t="s">
        <v>113</v>
      </c>
    </row>
    <row r="26" ht="15" spans="1:12">
      <c r="A26" s="55"/>
      <c r="B26" s="92"/>
      <c r="C26" s="17">
        <v>22</v>
      </c>
      <c r="D26" s="97" t="s">
        <v>173</v>
      </c>
      <c r="E26" s="92" t="s">
        <v>10</v>
      </c>
      <c r="F26" s="46" t="s">
        <v>159</v>
      </c>
      <c r="G26" s="25"/>
      <c r="H26" s="25"/>
      <c r="I26" s="25"/>
      <c r="J26" s="25"/>
      <c r="K26" s="25"/>
      <c r="L26" s="25"/>
    </row>
    <row r="27" ht="39" customHeight="1" spans="1:12">
      <c r="A27" s="55"/>
      <c r="B27" s="92"/>
      <c r="C27" s="17">
        <v>23</v>
      </c>
      <c r="D27" s="100" t="s">
        <v>174</v>
      </c>
      <c r="E27" s="92" t="s">
        <v>10</v>
      </c>
      <c r="F27" s="46" t="s">
        <v>175</v>
      </c>
      <c r="G27" s="25"/>
      <c r="H27" s="25"/>
      <c r="I27" s="25"/>
      <c r="J27" s="25"/>
      <c r="K27" s="25"/>
      <c r="L27" s="25"/>
    </row>
    <row r="28" ht="15" spans="1:12">
      <c r="A28" s="55"/>
      <c r="B28" s="92"/>
      <c r="C28" s="17">
        <v>24</v>
      </c>
      <c r="D28" s="94" t="s">
        <v>176</v>
      </c>
      <c r="E28" s="92" t="s">
        <v>10</v>
      </c>
      <c r="F28" s="89"/>
      <c r="G28" s="25"/>
      <c r="H28" s="25"/>
      <c r="I28" s="25"/>
      <c r="J28" s="25"/>
      <c r="K28" s="25"/>
      <c r="L28" s="25"/>
    </row>
    <row r="29" ht="43" customHeight="1" spans="1:12">
      <c r="A29" s="55"/>
      <c r="B29" s="92"/>
      <c r="C29" s="17">
        <v>25</v>
      </c>
      <c r="D29" s="94" t="s">
        <v>177</v>
      </c>
      <c r="E29" s="92" t="s">
        <v>10</v>
      </c>
      <c r="F29" s="89"/>
      <c r="G29" s="25"/>
      <c r="H29" s="25"/>
      <c r="I29" s="25"/>
      <c r="J29" s="25"/>
      <c r="K29" s="25"/>
      <c r="L29" s="25"/>
    </row>
    <row r="30" ht="15" spans="1:12">
      <c r="A30" s="55"/>
      <c r="B30" s="92"/>
      <c r="C30" s="17">
        <v>26</v>
      </c>
      <c r="D30" s="94" t="s">
        <v>178</v>
      </c>
      <c r="E30" s="92" t="s">
        <v>10</v>
      </c>
      <c r="F30" s="89"/>
      <c r="G30" s="25"/>
      <c r="H30" s="25"/>
      <c r="I30" s="25"/>
      <c r="J30" s="25"/>
      <c r="K30" s="25"/>
      <c r="L30" s="25"/>
    </row>
    <row r="31" ht="15" spans="1:12">
      <c r="A31" s="55"/>
      <c r="B31" s="92"/>
      <c r="C31" s="17">
        <v>27</v>
      </c>
      <c r="D31" s="94" t="s">
        <v>179</v>
      </c>
      <c r="E31" s="92" t="s">
        <v>10</v>
      </c>
      <c r="F31" s="89"/>
      <c r="G31" s="25"/>
      <c r="H31" s="25"/>
      <c r="I31" s="25"/>
      <c r="J31" s="25"/>
      <c r="K31" s="25"/>
      <c r="L31" s="25"/>
    </row>
    <row r="32" ht="24.75" spans="1:12">
      <c r="A32" s="55"/>
      <c r="B32" s="92"/>
      <c r="C32" s="17">
        <v>28</v>
      </c>
      <c r="D32" s="95" t="s">
        <v>180</v>
      </c>
      <c r="E32" s="92" t="s">
        <v>10</v>
      </c>
      <c r="F32" s="89"/>
      <c r="G32" s="25"/>
      <c r="H32" s="25"/>
      <c r="I32" s="25"/>
      <c r="J32" s="25"/>
      <c r="K32" s="25"/>
      <c r="L32" s="25"/>
    </row>
    <row r="33" ht="15" spans="1:12">
      <c r="A33" s="55"/>
      <c r="B33" s="92"/>
      <c r="C33" s="17">
        <v>29</v>
      </c>
      <c r="D33" s="94" t="s">
        <v>181</v>
      </c>
      <c r="E33" s="92" t="s">
        <v>10</v>
      </c>
      <c r="F33" s="89"/>
      <c r="G33" s="25"/>
      <c r="H33" s="25"/>
      <c r="I33" s="25"/>
      <c r="J33" s="25"/>
      <c r="K33" s="25"/>
      <c r="L33" s="25"/>
    </row>
    <row r="34" ht="24" customHeight="1" spans="1:12">
      <c r="A34" s="55"/>
      <c r="B34" s="92"/>
      <c r="C34" s="17">
        <v>30</v>
      </c>
      <c r="D34" s="94" t="s">
        <v>182</v>
      </c>
      <c r="E34" s="92" t="s">
        <v>10</v>
      </c>
      <c r="F34" s="89"/>
      <c r="G34" s="25"/>
      <c r="H34" s="25"/>
      <c r="I34" s="25"/>
      <c r="J34" s="25"/>
      <c r="K34" s="25"/>
      <c r="L34" s="25"/>
    </row>
  </sheetData>
  <mergeCells count="17">
    <mergeCell ref="A1:L1"/>
    <mergeCell ref="A2:L2"/>
    <mergeCell ref="H3:J3"/>
    <mergeCell ref="A3:A4"/>
    <mergeCell ref="A5:A34"/>
    <mergeCell ref="B3:B4"/>
    <mergeCell ref="B5:B9"/>
    <mergeCell ref="B10:B12"/>
    <mergeCell ref="B13:B20"/>
    <mergeCell ref="B21:B34"/>
    <mergeCell ref="C3:C4"/>
    <mergeCell ref="D3:D4"/>
    <mergeCell ref="E3:E4"/>
    <mergeCell ref="F3:F4"/>
    <mergeCell ref="G3:G4"/>
    <mergeCell ref="K3:K4"/>
    <mergeCell ref="L3:L4"/>
  </mergeCells>
  <pageMargins left="0.75" right="0.75" top="1" bottom="1" header="0.5" footer="0.5"/>
  <headerFooter/>
  <drawing r:id="rId2"/>
  <legacyDrawing r:id="rId3"/>
  <picture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8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A1" sqref="A1:I1"/>
    </sheetView>
  </sheetViews>
  <sheetFormatPr defaultColWidth="14" defaultRowHeight="12.75"/>
  <cols>
    <col min="1" max="1" width="6" customWidth="1"/>
    <col min="2" max="2" width="14" customWidth="1"/>
    <col min="3" max="3" width="6" customWidth="1"/>
    <col min="4" max="4" width="26" customWidth="1"/>
    <col min="5" max="5" width="11" customWidth="1"/>
    <col min="6" max="9" width="12" customWidth="1"/>
    <col min="10" max="10" width="15" customWidth="1"/>
    <col min="11" max="11" width="33" customWidth="1"/>
    <col min="12" max="12" width="27" customWidth="1"/>
    <col min="13" max="13" width="21" customWidth="1"/>
    <col min="14" max="14" width="9" customWidth="1"/>
    <col min="15" max="15" width="15" customWidth="1"/>
    <col min="16" max="16" width="9" customWidth="1"/>
  </cols>
  <sheetData>
    <row r="1" ht="38" customHeight="1" spans="1:17">
      <c r="A1" s="1" t="s">
        <v>93</v>
      </c>
      <c r="B1" s="1"/>
      <c r="C1" s="1"/>
      <c r="D1" s="1"/>
      <c r="E1" s="1"/>
      <c r="F1" s="1"/>
      <c r="G1" s="1"/>
      <c r="H1" s="1"/>
      <c r="I1" s="1"/>
      <c r="J1" s="78"/>
      <c r="K1" s="78"/>
      <c r="L1" s="4"/>
      <c r="M1" s="4"/>
    </row>
    <row r="2" ht="36" customHeight="1" spans="1:17">
      <c r="A2" s="6" t="s">
        <v>53</v>
      </c>
      <c r="B2" s="6" t="s">
        <v>94</v>
      </c>
      <c r="C2" s="6" t="s">
        <v>1</v>
      </c>
      <c r="D2" s="7" t="s">
        <v>2</v>
      </c>
      <c r="E2" s="7" t="s">
        <v>3</v>
      </c>
      <c r="F2" s="8" t="s">
        <v>4</v>
      </c>
      <c r="G2" s="8" t="s">
        <v>5</v>
      </c>
      <c r="H2" s="8"/>
      <c r="I2" s="8"/>
      <c r="J2" s="9" t="s">
        <v>183</v>
      </c>
      <c r="K2" s="10" t="s">
        <v>184</v>
      </c>
      <c r="L2" s="10" t="s">
        <v>185</v>
      </c>
      <c r="M2" s="10" t="s">
        <v>186</v>
      </c>
      <c r="N2" s="53" t="s">
        <v>187</v>
      </c>
      <c r="O2" s="12" t="s">
        <v>188</v>
      </c>
    </row>
    <row r="3" ht="38" customHeight="1" spans="1:17">
      <c r="A3" s="6"/>
      <c r="B3" s="6"/>
      <c r="C3" s="6"/>
      <c r="D3" s="7"/>
      <c r="E3" s="7"/>
      <c r="F3" s="8"/>
      <c r="G3" s="13" t="s">
        <v>6</v>
      </c>
      <c r="H3" s="13" t="s">
        <v>189</v>
      </c>
      <c r="I3" s="13" t="s">
        <v>190</v>
      </c>
      <c r="J3" s="9"/>
      <c r="K3" s="79"/>
      <c r="L3" s="79"/>
      <c r="M3" s="79"/>
      <c r="N3" s="53"/>
      <c r="O3" s="12"/>
      <c r="P3" s="15" t="s">
        <v>191</v>
      </c>
      <c r="Q3" s="16" t="s">
        <v>192</v>
      </c>
    </row>
    <row r="4" ht="50" customHeight="1" spans="1:17">
      <c r="A4" s="55" t="s">
        <v>193</v>
      </c>
      <c r="B4" s="80" t="s">
        <v>194</v>
      </c>
      <c r="C4" s="81">
        <v>1</v>
      </c>
      <c r="D4" s="82" t="s">
        <v>195</v>
      </c>
      <c r="E4" s="83" t="s">
        <v>59</v>
      </c>
      <c r="F4" s="84"/>
      <c r="G4" s="85"/>
      <c r="H4" s="85"/>
      <c r="I4" s="86"/>
      <c r="J4" s="87" t="str">
        <f>_xlfn.LET(_xlpm.d,VLOOKUP(D4,IMPORTRANGE("https://app.rwork.crc.com.cn/sheets/shtk9dJxf2RfI4iaZQvl0mDAYVe","'银行指标清单（财务）'!E:Q"),2,FALSE),IFERROR(IF(_xlpm.d="","未填写",_xlpm.d),"未匹配"))</f>
        <v>未匹配</v>
      </c>
      <c r="K4" s="26" t="str">
        <f>_xlfn.LET(_xlpm.d,VLOOKUP(D4,IMPORTRANGE("https://app.rwork.crc.com.cn/sheets/shtk9dJxf2RfI4iaZQvl0mDAYVe","'银行指标清单（财务）'!E:Q"),3,FALSE),IFERROR(IF(_xlpm.d="","未填写",_xlpm.d),"未匹配"))</f>
        <v>未匹配</v>
      </c>
      <c r="L4" s="26" t="str">
        <f>_xlfn.LET(_xlpm.d,VLOOKUP(D4,IMPORTRANGE("https://app.rwork.crc.com.cn/sheets/shtk9dJxf2RfI4iaZQvl0mDAYVe","'银行指标清单（财务）'!E:Q"),5,FALSE),IFERROR(IF(_xlpm.d="","未填写",_xlpm.d),"未匹配"))</f>
        <v>未匹配</v>
      </c>
      <c r="M4" s="26" t="str">
        <f>_xlfn.LET(_xlpm.d,VLOOKUP(D4,IMPORTRANGE("https://app.rwork.crc.com.cn/sheets/shtk9dJxf2RfI4iaZQvl0mDAYVe","'银行指标清单（财务）'!E:Q"),13,FALSE),IFERROR(IF(_xlpm.d="","未填写",_xlpm.d),"未匹配"))</f>
        <v>未匹配</v>
      </c>
      <c r="N4" s="61" t="s">
        <v>196</v>
      </c>
      <c r="O4" s="40"/>
      <c r="P4" s="30" t="s">
        <v>197</v>
      </c>
      <c r="Q4" s="31" t="s">
        <v>198</v>
      </c>
    </row>
    <row r="5" ht="24" customHeight="1" spans="1:17">
      <c r="A5" s="55"/>
      <c r="B5" s="80"/>
      <c r="C5" s="81">
        <v>2</v>
      </c>
      <c r="D5" s="88" t="s">
        <v>199</v>
      </c>
      <c r="E5" s="83" t="s">
        <v>59</v>
      </c>
      <c r="F5" s="84"/>
      <c r="G5" s="85"/>
      <c r="H5" s="85"/>
      <c r="I5" s="86"/>
      <c r="J5" s="87" t="str">
        <f>_xlfn.LET(_xlpm.d,VLOOKUP(D5,IMPORTRANGE("https://app.rwork.crc.com.cn/sheets/shtk9dJxf2RfI4iaZQvl0mDAYVe","'银行指标清单（财务）'!E:Q"),2,FALSE),IFERROR(IF(_xlpm.d="","未填写",_xlpm.d),"未匹配"))</f>
        <v>未匹配</v>
      </c>
      <c r="K5" s="26" t="str">
        <f>_xlfn.LET(_xlpm.d,VLOOKUP(D5,IMPORTRANGE("https://app.rwork.crc.com.cn/sheets/shtk9dJxf2RfI4iaZQvl0mDAYVe","'银行指标清单（财务）'!E:Q"),3,FALSE),IFERROR(IF(_xlpm.d="","未填写",_xlpm.d),"未匹配"))</f>
        <v>未匹配</v>
      </c>
      <c r="L5" s="26" t="str">
        <f>_xlfn.LET(_xlpm.d,VLOOKUP(D5,IMPORTRANGE("https://app.rwork.crc.com.cn/sheets/shtk9dJxf2RfI4iaZQvl0mDAYVe","'银行指标清单（财务）'!E:Q"),5,FALSE),IFERROR(IF(_xlpm.d="","未填写",_xlpm.d),"未匹配"))</f>
        <v>未匹配</v>
      </c>
      <c r="M5" s="26" t="str">
        <f>_xlfn.LET(_xlpm.d,VLOOKUP(D5,IMPORTRANGE("https://app.rwork.crc.com.cn/sheets/shtk9dJxf2RfI4iaZQvl0mDAYVe","'银行指标清单（财务）'!E:Q"),13,FALSE),IFERROR(IF(_xlpm.d="","未填写",_xlpm.d),"未匹配"))</f>
        <v>未匹配</v>
      </c>
      <c r="N5" s="61" t="s">
        <v>196</v>
      </c>
      <c r="O5" s="40"/>
      <c r="P5" s="30" t="s">
        <v>197</v>
      </c>
      <c r="Q5" s="31" t="s">
        <v>198</v>
      </c>
    </row>
    <row r="6" ht="24" customHeight="1" spans="1:17">
      <c r="A6" s="55"/>
      <c r="B6" s="80"/>
      <c r="C6" s="81">
        <v>3</v>
      </c>
      <c r="D6" s="88" t="s">
        <v>200</v>
      </c>
      <c r="E6" s="83" t="s">
        <v>59</v>
      </c>
      <c r="F6" s="84"/>
      <c r="G6" s="85"/>
      <c r="H6" s="85"/>
      <c r="I6" s="86"/>
      <c r="J6" s="87" t="str">
        <f>_xlfn.LET(_xlpm.d,VLOOKUP(D6,IMPORTRANGE("https://app.rwork.crc.com.cn/sheets/shtk9dJxf2RfI4iaZQvl0mDAYVe","'银行指标清单（财务）'!E:Q"),2,FALSE),IFERROR(IF(_xlpm.d="","未填写",_xlpm.d),"未匹配"))</f>
        <v>未匹配</v>
      </c>
      <c r="K6" s="26" t="str">
        <f>_xlfn.LET(_xlpm.d,VLOOKUP(D6,IMPORTRANGE("https://app.rwork.crc.com.cn/sheets/shtk9dJxf2RfI4iaZQvl0mDAYVe","'银行指标清单（财务）'!E:Q"),3,FALSE),IFERROR(IF(_xlpm.d="","未填写",_xlpm.d),"未匹配"))</f>
        <v>未匹配</v>
      </c>
      <c r="L6" s="26" t="str">
        <f>_xlfn.LET(_xlpm.d,VLOOKUP(D6,IMPORTRANGE("https://app.rwork.crc.com.cn/sheets/shtk9dJxf2RfI4iaZQvl0mDAYVe","'银行指标清单（财务）'!E:Q"),5,FALSE),IFERROR(IF(_xlpm.d="","未填写",_xlpm.d),"未匹配"))</f>
        <v>未匹配</v>
      </c>
      <c r="M6" s="26" t="str">
        <f>_xlfn.LET(_xlpm.d,VLOOKUP(D6,IMPORTRANGE("https://app.rwork.crc.com.cn/sheets/shtk9dJxf2RfI4iaZQvl0mDAYVe","'银行指标清单（财务）'!E:Q"),13,FALSE),IFERROR(IF(_xlpm.d="","未填写",_xlpm.d),"未匹配"))</f>
        <v>未匹配</v>
      </c>
      <c r="N6" s="61" t="s">
        <v>196</v>
      </c>
      <c r="O6" s="40"/>
      <c r="P6" s="30" t="s">
        <v>197</v>
      </c>
      <c r="Q6" s="31" t="s">
        <v>198</v>
      </c>
    </row>
    <row r="7" ht="24" customHeight="1" spans="1:17">
      <c r="A7" s="55"/>
      <c r="B7" s="80"/>
      <c r="C7" s="81">
        <v>4</v>
      </c>
      <c r="D7" s="88" t="s">
        <v>201</v>
      </c>
      <c r="E7" s="83" t="s">
        <v>59</v>
      </c>
      <c r="F7" s="84"/>
      <c r="G7" s="85"/>
      <c r="H7" s="85"/>
      <c r="I7" s="86"/>
      <c r="J7" s="87" t="str">
        <f>_xlfn.LET(_xlpm.d,VLOOKUP(D7,IMPORTRANGE("https://app.rwork.crc.com.cn/sheets/shtk9dJxf2RfI4iaZQvl0mDAYVe","'银行指标清单（财务）'!E:Q"),2,FALSE),IFERROR(IF(_xlpm.d="","未填写",_xlpm.d),"未匹配"))</f>
        <v>未匹配</v>
      </c>
      <c r="K7" s="26" t="str">
        <f>_xlfn.LET(_xlpm.d,VLOOKUP(D7,IMPORTRANGE("https://app.rwork.crc.com.cn/sheets/shtk9dJxf2RfI4iaZQvl0mDAYVe","'银行指标清单（财务）'!E:Q"),3,FALSE),IFERROR(IF(_xlpm.d="","未填写",_xlpm.d),"未匹配"))</f>
        <v>未匹配</v>
      </c>
      <c r="L7" s="26" t="str">
        <f>_xlfn.LET(_xlpm.d,VLOOKUP(D7,IMPORTRANGE("https://app.rwork.crc.com.cn/sheets/shtk9dJxf2RfI4iaZQvl0mDAYVe","'银行指标清单（财务）'!E:Q"),5,FALSE),IFERROR(IF(_xlpm.d="","未填写",_xlpm.d),"未匹配"))</f>
        <v>未匹配</v>
      </c>
      <c r="M7" s="26" t="str">
        <f>_xlfn.LET(_xlpm.d,VLOOKUP(D7,IMPORTRANGE("https://app.rwork.crc.com.cn/sheets/shtk9dJxf2RfI4iaZQvl0mDAYVe","'银行指标清单（财务）'!E:Q"),13,FALSE),IFERROR(IF(_xlpm.d="","未填写",_xlpm.d),"未匹配"))</f>
        <v>未匹配</v>
      </c>
      <c r="N7" s="61" t="s">
        <v>196</v>
      </c>
      <c r="O7" s="40"/>
      <c r="P7" s="30" t="s">
        <v>197</v>
      </c>
      <c r="Q7" s="31" t="s">
        <v>198</v>
      </c>
    </row>
    <row r="8" ht="49" customHeight="1" spans="1:17">
      <c r="A8" s="55"/>
      <c r="B8" s="80"/>
      <c r="C8" s="81">
        <v>5</v>
      </c>
      <c r="D8" s="82" t="s">
        <v>202</v>
      </c>
      <c r="E8" s="83" t="s">
        <v>59</v>
      </c>
      <c r="F8" s="84"/>
      <c r="G8" s="85"/>
      <c r="H8" s="85"/>
      <c r="I8" s="86"/>
      <c r="J8" s="87" t="str">
        <f>_xlfn.LET(_xlpm.d,VLOOKUP(D8,IMPORTRANGE("https://app.rwork.crc.com.cn/sheets/shtk9dJxf2RfI4iaZQvl0mDAYVe","'银行指标清单（财务）'!E:Q"),2,FALSE),IFERROR(IF(_xlpm.d="","未填写",_xlpm.d),"未匹配"))</f>
        <v>未匹配</v>
      </c>
      <c r="K8" s="26" t="str">
        <f>_xlfn.LET(_xlpm.d,VLOOKUP(D8,IMPORTRANGE("https://app.rwork.crc.com.cn/sheets/shtk9dJxf2RfI4iaZQvl0mDAYVe","'银行指标清单（财务）'!E:Q"),3,FALSE),IFERROR(IF(_xlpm.d="","未填写",_xlpm.d),"未匹配"))</f>
        <v>未匹配</v>
      </c>
      <c r="L8" s="26" t="str">
        <f>_xlfn.LET(_xlpm.d,VLOOKUP(D8,IMPORTRANGE("https://app.rwork.crc.com.cn/sheets/shtk9dJxf2RfI4iaZQvl0mDAYVe","'银行指标清单（财务）'!E:Q"),5,FALSE),IFERROR(IF(_xlpm.d="","未填写",_xlpm.d),"未匹配"))</f>
        <v>未匹配</v>
      </c>
      <c r="M8" s="26" t="str">
        <f>_xlfn.LET(_xlpm.d,VLOOKUP(D8,IMPORTRANGE("https://app.rwork.crc.com.cn/sheets/shtk9dJxf2RfI4iaZQvl0mDAYVe","'银行指标清单（财务）'!E:Q"),13,FALSE),IFERROR(IF(_xlpm.d="","未填写",_xlpm.d),"未匹配"))</f>
        <v>未匹配</v>
      </c>
      <c r="N8" s="61" t="s">
        <v>196</v>
      </c>
      <c r="O8" s="40"/>
      <c r="P8" s="30" t="s">
        <v>197</v>
      </c>
      <c r="Q8" s="31" t="s">
        <v>198</v>
      </c>
    </row>
    <row r="9" ht="50" customHeight="1" spans="1:17">
      <c r="A9" s="55"/>
      <c r="B9" s="80"/>
      <c r="C9" s="81">
        <v>6</v>
      </c>
      <c r="D9" s="82" t="s">
        <v>203</v>
      </c>
      <c r="E9" s="83" t="s">
        <v>59</v>
      </c>
      <c r="F9" s="84"/>
      <c r="G9" s="85"/>
      <c r="H9" s="85"/>
      <c r="I9" s="86"/>
      <c r="J9" s="87" t="str">
        <f>_xlfn.LET(_xlpm.d,VLOOKUP(D9,IMPORTRANGE("https://app.rwork.crc.com.cn/sheets/shtk9dJxf2RfI4iaZQvl0mDAYVe","'银行指标清单（财务）'!E:Q"),2,FALSE),IFERROR(IF(_xlpm.d="","未填写",_xlpm.d),"未匹配"))</f>
        <v>未匹配</v>
      </c>
      <c r="K9" s="26" t="str">
        <f>_xlfn.LET(_xlpm.d,VLOOKUP(D9,IMPORTRANGE("https://app.rwork.crc.com.cn/sheets/shtk9dJxf2RfI4iaZQvl0mDAYVe","'银行指标清单（财务）'!E:Q"),3,FALSE),IFERROR(IF(_xlpm.d="","未填写",_xlpm.d),"未匹配"))</f>
        <v>未匹配</v>
      </c>
      <c r="L9" s="26" t="str">
        <f>_xlfn.LET(_xlpm.d,VLOOKUP(D9,IMPORTRANGE("https://app.rwork.crc.com.cn/sheets/shtk9dJxf2RfI4iaZQvl0mDAYVe","'银行指标清单（财务）'!E:Q"),5,FALSE),IFERROR(IF(_xlpm.d="","未填写",_xlpm.d),"未匹配"))</f>
        <v>未匹配</v>
      </c>
      <c r="M9" s="26" t="str">
        <f>_xlfn.LET(_xlpm.d,VLOOKUP(D9,IMPORTRANGE("https://app.rwork.crc.com.cn/sheets/shtk9dJxf2RfI4iaZQvl0mDAYVe","'银行指标清单（财务）'!E:Q"),13,FALSE),IFERROR(IF(_xlpm.d="","未填写",_xlpm.d),"未匹配"))</f>
        <v>未匹配</v>
      </c>
      <c r="N9" s="61" t="s">
        <v>196</v>
      </c>
      <c r="O9" s="40"/>
      <c r="P9" s="30" t="s">
        <v>197</v>
      </c>
      <c r="Q9" s="31" t="s">
        <v>198</v>
      </c>
    </row>
    <row r="10" ht="64" customHeight="1" spans="1:17">
      <c r="A10" s="55"/>
      <c r="B10" s="80"/>
      <c r="C10" s="81">
        <v>7</v>
      </c>
      <c r="D10" s="82" t="s">
        <v>204</v>
      </c>
      <c r="E10" s="83" t="s">
        <v>59</v>
      </c>
      <c r="F10" s="84"/>
      <c r="G10" s="85"/>
      <c r="H10" s="85"/>
      <c r="I10" s="86"/>
      <c r="J10" s="87" t="str">
        <f>_xlfn.LET(_xlpm.d,VLOOKUP(D10,IMPORTRANGE("https://app.rwork.crc.com.cn/sheets/shtk9dJxf2RfI4iaZQvl0mDAYVe","'银行指标清单（财务）'!E:Q"),2,FALSE),IFERROR(IF(_xlpm.d="","未填写",_xlpm.d),"未匹配"))</f>
        <v>未匹配</v>
      </c>
      <c r="K10" s="26" t="str">
        <f>_xlfn.LET(_xlpm.d,VLOOKUP(D10,IMPORTRANGE("https://app.rwork.crc.com.cn/sheets/shtk9dJxf2RfI4iaZQvl0mDAYVe","'银行指标清单（财务）'!E:Q"),3,FALSE),IFERROR(IF(_xlpm.d="","未填写",_xlpm.d),"未匹配"))</f>
        <v>未匹配</v>
      </c>
      <c r="L10" s="26" t="str">
        <f>_xlfn.LET(_xlpm.d,VLOOKUP(D10,IMPORTRANGE("https://app.rwork.crc.com.cn/sheets/shtk9dJxf2RfI4iaZQvl0mDAYVe","'银行指标清单（财务）'!E:Q"),5,FALSE),IFERROR(IF(_xlpm.d="","未填写",_xlpm.d),"未匹配"))</f>
        <v>未匹配</v>
      </c>
      <c r="M10" s="26" t="str">
        <f>_xlfn.LET(_xlpm.d,VLOOKUP(D10,IMPORTRANGE("https://app.rwork.crc.com.cn/sheets/shtk9dJxf2RfI4iaZQvl0mDAYVe","'银行指标清单（财务）'!E:Q"),13,FALSE),IFERROR(IF(_xlpm.d="","未填写",_xlpm.d),"未匹配"))</f>
        <v>未匹配</v>
      </c>
      <c r="N10" s="61" t="s">
        <v>196</v>
      </c>
      <c r="O10" s="40"/>
      <c r="P10" s="30" t="s">
        <v>197</v>
      </c>
      <c r="Q10" s="31" t="s">
        <v>198</v>
      </c>
    </row>
    <row r="11" ht="15" spans="1:17">
      <c r="A11" s="55"/>
      <c r="B11" s="89" t="s">
        <v>205</v>
      </c>
      <c r="C11" s="81">
        <v>8</v>
      </c>
      <c r="D11" s="82" t="s">
        <v>206</v>
      </c>
      <c r="E11" s="83" t="s">
        <v>59</v>
      </c>
      <c r="F11" s="90"/>
      <c r="G11" s="90"/>
      <c r="H11" s="90"/>
      <c r="I11" s="90"/>
      <c r="J11" s="87" t="str">
        <f>_xlfn.LET(_xlpm.d,VLOOKUP(D11,IMPORTRANGE("https://app.rwork.crc.com.cn/sheets/shtk9dJxf2RfI4iaZQvl0mDAYVe","'银行指标清单（财务）'!E:Q"),2,FALSE),IFERROR(IF(_xlpm.d="","未填写",_xlpm.d),"未匹配"))</f>
        <v>未匹配</v>
      </c>
      <c r="K11" s="26" t="str">
        <f>_xlfn.LET(_xlpm.d,VLOOKUP(D11,IMPORTRANGE("https://app.rwork.crc.com.cn/sheets/shtk9dJxf2RfI4iaZQvl0mDAYVe","'银行指标清单（财务）'!E:Q"),3,FALSE),IFERROR(IF(_xlpm.d="","未填写",_xlpm.d),"未匹配"))</f>
        <v>未匹配</v>
      </c>
      <c r="L11" s="26" t="str">
        <f>_xlfn.LET(_xlpm.d,VLOOKUP(D11,IMPORTRANGE("https://app.rwork.crc.com.cn/sheets/shtk9dJxf2RfI4iaZQvl0mDAYVe","'银行指标清单（财务）'!E:Q"),5,FALSE),IFERROR(IF(_xlpm.d="","未填写",_xlpm.d),"未匹配"))</f>
        <v>未匹配</v>
      </c>
      <c r="M11" s="26" t="str">
        <f>_xlfn.LET(_xlpm.d,VLOOKUP(D11,IMPORTRANGE("https://app.rwork.crc.com.cn/sheets/shtk9dJxf2RfI4iaZQvl0mDAYVe","'银行指标清单（财务）'!E:Q"),13,FALSE),IFERROR(IF(_xlpm.d="","未填写",_xlpm.d),"未匹配"))</f>
        <v>未匹配</v>
      </c>
      <c r="N11" s="61" t="s">
        <v>196</v>
      </c>
      <c r="O11" s="40"/>
      <c r="P11" s="30" t="s">
        <v>197</v>
      </c>
      <c r="Q11" s="31" t="s">
        <v>198</v>
      </c>
    </row>
    <row r="12" ht="15" spans="1:17">
      <c r="A12" s="55"/>
      <c r="B12" s="89"/>
      <c r="C12" s="81">
        <v>9</v>
      </c>
      <c r="D12" s="88" t="s">
        <v>207</v>
      </c>
      <c r="E12" s="83" t="s">
        <v>59</v>
      </c>
      <c r="F12" s="90"/>
      <c r="G12" s="90"/>
      <c r="H12" s="90"/>
      <c r="I12" s="90"/>
      <c r="J12" s="87" t="str">
        <f>_xlfn.LET(_xlpm.d,VLOOKUP(D12,IMPORTRANGE("https://app.rwork.crc.com.cn/sheets/shtk9dJxf2RfI4iaZQvl0mDAYVe","'银行指标清单（财务）'!E:Q"),2,FALSE),IFERROR(IF(_xlpm.d="","未填写",_xlpm.d),"未匹配"))</f>
        <v>未匹配</v>
      </c>
      <c r="K12" s="26" t="str">
        <f>_xlfn.LET(_xlpm.d,VLOOKUP(D12,IMPORTRANGE("https://app.rwork.crc.com.cn/sheets/shtk9dJxf2RfI4iaZQvl0mDAYVe","'银行指标清单（财务）'!E:Q"),3,FALSE),IFERROR(IF(_xlpm.d="","未填写",_xlpm.d),"未匹配"))</f>
        <v>未匹配</v>
      </c>
      <c r="L12" s="26" t="str">
        <f>_xlfn.LET(_xlpm.d,VLOOKUP(D12,IMPORTRANGE("https://app.rwork.crc.com.cn/sheets/shtk9dJxf2RfI4iaZQvl0mDAYVe","'银行指标清单（财务）'!E:Q"),5,FALSE),IFERROR(IF(_xlpm.d="","未填写",_xlpm.d),"未匹配"))</f>
        <v>未匹配</v>
      </c>
      <c r="M12" s="26" t="str">
        <f>_xlfn.LET(_xlpm.d,VLOOKUP(D12,IMPORTRANGE("https://app.rwork.crc.com.cn/sheets/shtk9dJxf2RfI4iaZQvl0mDAYVe","'银行指标清单（财务）'!E:Q"),13,FALSE),IFERROR(IF(_xlpm.d="","未填写",_xlpm.d),"未匹配"))</f>
        <v>未匹配</v>
      </c>
      <c r="N12" s="61" t="s">
        <v>196</v>
      </c>
      <c r="O12" s="40"/>
      <c r="P12" s="30" t="s">
        <v>197</v>
      </c>
      <c r="Q12" s="31" t="s">
        <v>198</v>
      </c>
    </row>
    <row r="13" ht="15" spans="1:17">
      <c r="A13" s="55"/>
      <c r="B13" s="89"/>
      <c r="C13" s="81">
        <v>10</v>
      </c>
      <c r="D13" s="88" t="s">
        <v>208</v>
      </c>
      <c r="E13" s="83" t="s">
        <v>59</v>
      </c>
      <c r="F13" s="90"/>
      <c r="G13" s="90"/>
      <c r="H13" s="90"/>
      <c r="I13" s="90"/>
      <c r="J13" s="87" t="str">
        <f>_xlfn.LET(_xlpm.d,VLOOKUP(D13,IMPORTRANGE("https://app.rwork.crc.com.cn/sheets/shtk9dJxf2RfI4iaZQvl0mDAYVe","'银行指标清单（财务）'!E:Q"),2,FALSE),IFERROR(IF(_xlpm.d="","未填写",_xlpm.d),"未匹配"))</f>
        <v>未匹配</v>
      </c>
      <c r="K13" s="26" t="str">
        <f>_xlfn.LET(_xlpm.d,VLOOKUP(D13,IMPORTRANGE("https://app.rwork.crc.com.cn/sheets/shtk9dJxf2RfI4iaZQvl0mDAYVe","'银行指标清单（财务）'!E:Q"),3,FALSE),IFERROR(IF(_xlpm.d="","未填写",_xlpm.d),"未匹配"))</f>
        <v>未匹配</v>
      </c>
      <c r="L13" s="26" t="str">
        <f>_xlfn.LET(_xlpm.d,VLOOKUP(D13,IMPORTRANGE("https://app.rwork.crc.com.cn/sheets/shtk9dJxf2RfI4iaZQvl0mDAYVe","'银行指标清单（财务）'!E:Q"),5,FALSE),IFERROR(IF(_xlpm.d="","未填写",_xlpm.d),"未匹配"))</f>
        <v>未匹配</v>
      </c>
      <c r="M13" s="26" t="str">
        <f>_xlfn.LET(_xlpm.d,VLOOKUP(D13,IMPORTRANGE("https://app.rwork.crc.com.cn/sheets/shtk9dJxf2RfI4iaZQvl0mDAYVe","'银行指标清单（财务）'!E:Q"),13,FALSE),IFERROR(IF(_xlpm.d="","未填写",_xlpm.d),"未匹配"))</f>
        <v>未匹配</v>
      </c>
      <c r="N13" s="61" t="s">
        <v>196</v>
      </c>
      <c r="O13" s="40"/>
      <c r="P13" s="30" t="s">
        <v>197</v>
      </c>
      <c r="Q13" s="31" t="s">
        <v>198</v>
      </c>
    </row>
    <row r="14" ht="44" customHeight="1" spans="1:17">
      <c r="A14" s="55"/>
      <c r="B14" s="89"/>
      <c r="C14" s="81">
        <v>11</v>
      </c>
      <c r="D14" s="82" t="s">
        <v>209</v>
      </c>
      <c r="E14" s="83" t="s">
        <v>59</v>
      </c>
      <c r="F14" s="90"/>
      <c r="G14" s="90"/>
      <c r="H14" s="90"/>
      <c r="I14" s="90"/>
      <c r="J14" s="87" t="str">
        <f>_xlfn.LET(_xlpm.d,VLOOKUP(D14,IMPORTRANGE("https://app.rwork.crc.com.cn/sheets/shtk9dJxf2RfI4iaZQvl0mDAYVe","'银行指标清单（财务）'!E:Q"),2,FALSE),IFERROR(IF(_xlpm.d="","未填写",_xlpm.d),"未匹配"))</f>
        <v>未匹配</v>
      </c>
      <c r="K14" s="26" t="str">
        <f>_xlfn.LET(_xlpm.d,VLOOKUP(D14,IMPORTRANGE("https://app.rwork.crc.com.cn/sheets/shtk9dJxf2RfI4iaZQvl0mDAYVe","'银行指标清单（财务）'!E:Q"),3,FALSE),IFERROR(IF(_xlpm.d="","未填写",_xlpm.d),"未匹配"))</f>
        <v>未匹配</v>
      </c>
      <c r="L14" s="26" t="str">
        <f>_xlfn.LET(_xlpm.d,VLOOKUP(D14,IMPORTRANGE("https://app.rwork.crc.com.cn/sheets/shtk9dJxf2RfI4iaZQvl0mDAYVe","'银行指标清单（财务）'!E:Q"),5,FALSE),IFERROR(IF(_xlpm.d="","未填写",_xlpm.d),"未匹配"))</f>
        <v>未匹配</v>
      </c>
      <c r="M14" s="26" t="str">
        <f>_xlfn.LET(_xlpm.d,VLOOKUP(D14,IMPORTRANGE("https://app.rwork.crc.com.cn/sheets/shtk9dJxf2RfI4iaZQvl0mDAYVe","'银行指标清单（财务）'!E:Q"),13,FALSE),IFERROR(IF(_xlpm.d="","未填写",_xlpm.d),"未匹配"))</f>
        <v>未匹配</v>
      </c>
      <c r="N14" s="61" t="s">
        <v>196</v>
      </c>
      <c r="O14" s="40"/>
      <c r="P14" s="30" t="s">
        <v>197</v>
      </c>
      <c r="Q14" s="31" t="s">
        <v>198</v>
      </c>
    </row>
    <row r="15" ht="41" customHeight="1" spans="1:17">
      <c r="A15" s="55"/>
      <c r="B15" s="89"/>
      <c r="C15" s="81">
        <v>12</v>
      </c>
      <c r="D15" s="82" t="s">
        <v>210</v>
      </c>
      <c r="E15" s="83" t="s">
        <v>59</v>
      </c>
      <c r="F15" s="90"/>
      <c r="G15" s="90"/>
      <c r="H15" s="90"/>
      <c r="I15" s="90"/>
      <c r="J15" s="87" t="str">
        <f>_xlfn.LET(_xlpm.d,VLOOKUP(D15,IMPORTRANGE("https://app.rwork.crc.com.cn/sheets/shtk9dJxf2RfI4iaZQvl0mDAYVe","'银行指标清单（财务）'!E:Q"),2,FALSE),IFERROR(IF(_xlpm.d="","未填写",_xlpm.d),"未匹配"))</f>
        <v>未匹配</v>
      </c>
      <c r="K15" s="26" t="str">
        <f>_xlfn.LET(_xlpm.d,VLOOKUP(D15,IMPORTRANGE("https://app.rwork.crc.com.cn/sheets/shtk9dJxf2RfI4iaZQvl0mDAYVe","'银行指标清单（财务）'!E:Q"),3,FALSE),IFERROR(IF(_xlpm.d="","未填写",_xlpm.d),"未匹配"))</f>
        <v>未匹配</v>
      </c>
      <c r="L15" s="26" t="str">
        <f>_xlfn.LET(_xlpm.d,VLOOKUP(D15,IMPORTRANGE("https://app.rwork.crc.com.cn/sheets/shtk9dJxf2RfI4iaZQvl0mDAYVe","'银行指标清单（财务）'!E:Q"),5,FALSE),IFERROR(IF(_xlpm.d="","未填写",_xlpm.d),"未匹配"))</f>
        <v>未匹配</v>
      </c>
      <c r="M15" s="26" t="str">
        <f>_xlfn.LET(_xlpm.d,VLOOKUP(D15,IMPORTRANGE("https://app.rwork.crc.com.cn/sheets/shtk9dJxf2RfI4iaZQvl0mDAYVe","'银行指标清单（财务）'!E:Q"),13,FALSE),IFERROR(IF(_xlpm.d="","未填写",_xlpm.d),"未匹配"))</f>
        <v>未匹配</v>
      </c>
      <c r="N15" s="61" t="s">
        <v>196</v>
      </c>
      <c r="O15" s="40"/>
      <c r="P15" s="30" t="s">
        <v>197</v>
      </c>
      <c r="Q15" s="31" t="s">
        <v>198</v>
      </c>
    </row>
    <row r="16" ht="43" customHeight="1" spans="1:17">
      <c r="A16" s="55"/>
      <c r="B16" s="89"/>
      <c r="C16" s="81">
        <v>13</v>
      </c>
      <c r="D16" s="82" t="s">
        <v>211</v>
      </c>
      <c r="E16" s="83" t="s">
        <v>59</v>
      </c>
      <c r="F16" s="90"/>
      <c r="G16" s="90"/>
      <c r="H16" s="90"/>
      <c r="I16" s="90"/>
      <c r="J16" s="87" t="str">
        <f>_xlfn.LET(_xlpm.d,VLOOKUP(D16,IMPORTRANGE("https://app.rwork.crc.com.cn/sheets/shtk9dJxf2RfI4iaZQvl0mDAYVe","'银行指标清单（财务）'!E:Q"),2,FALSE),IFERROR(IF(_xlpm.d="","未填写",_xlpm.d),"未匹配"))</f>
        <v>未匹配</v>
      </c>
      <c r="K16" s="26" t="str">
        <f>_xlfn.LET(_xlpm.d,VLOOKUP(D16,IMPORTRANGE("https://app.rwork.crc.com.cn/sheets/shtk9dJxf2RfI4iaZQvl0mDAYVe","'银行指标清单（财务）'!E:Q"),3,FALSE),IFERROR(IF(_xlpm.d="","未填写",_xlpm.d),"未匹配"))</f>
        <v>未匹配</v>
      </c>
      <c r="L16" s="26" t="str">
        <f>_xlfn.LET(_xlpm.d,VLOOKUP(D16,IMPORTRANGE("https://app.rwork.crc.com.cn/sheets/shtk9dJxf2RfI4iaZQvl0mDAYVe","'银行指标清单（财务）'!E:Q"),5,FALSE),IFERROR(IF(_xlpm.d="","未填写",_xlpm.d),"未匹配"))</f>
        <v>未匹配</v>
      </c>
      <c r="M16" s="26" t="str">
        <f>_xlfn.LET(_xlpm.d,VLOOKUP(D16,IMPORTRANGE("https://app.rwork.crc.com.cn/sheets/shtk9dJxf2RfI4iaZQvl0mDAYVe","'银行指标清单（财务）'!E:Q"),13,FALSE),IFERROR(IF(_xlpm.d="","未填写",_xlpm.d),"未匹配"))</f>
        <v>未匹配</v>
      </c>
      <c r="N16" s="61" t="s">
        <v>196</v>
      </c>
      <c r="O16" s="40"/>
      <c r="P16" s="30" t="s">
        <v>197</v>
      </c>
      <c r="Q16" s="31" t="s">
        <v>198</v>
      </c>
    </row>
    <row r="17" ht="47" customHeight="1" spans="1:17">
      <c r="A17" s="55"/>
      <c r="B17" s="80" t="s">
        <v>212</v>
      </c>
      <c r="C17" s="81">
        <v>14</v>
      </c>
      <c r="D17" s="82" t="s">
        <v>213</v>
      </c>
      <c r="E17" s="83" t="s">
        <v>59</v>
      </c>
      <c r="F17" s="84"/>
      <c r="G17" s="86"/>
      <c r="H17" s="86"/>
      <c r="I17" s="91"/>
      <c r="J17" s="87" t="str">
        <f>_xlfn.LET(_xlpm.d,VLOOKUP(D17,IMPORTRANGE("https://app.rwork.crc.com.cn/sheets/shtk9dJxf2RfI4iaZQvl0mDAYVe","'银行指标清单（财务）'!E:Q"),2,FALSE),IFERROR(IF(_xlpm.d="","未填写",_xlpm.d),"未匹配"))</f>
        <v>未匹配</v>
      </c>
      <c r="K17" s="26" t="str">
        <f>_xlfn.LET(_xlpm.d,VLOOKUP(D17,IMPORTRANGE("https://app.rwork.crc.com.cn/sheets/shtk9dJxf2RfI4iaZQvl0mDAYVe","'银行指标清单（财务）'!E:Q"),3,FALSE),IFERROR(IF(_xlpm.d="","未填写",_xlpm.d),"未匹配"))</f>
        <v>未匹配</v>
      </c>
      <c r="L17" s="26" t="str">
        <f>_xlfn.LET(_xlpm.d,VLOOKUP(D17,IMPORTRANGE("https://app.rwork.crc.com.cn/sheets/shtk9dJxf2RfI4iaZQvl0mDAYVe","'银行指标清单（财务）'!E:Q"),5,FALSE),IFERROR(IF(_xlpm.d="","未填写",_xlpm.d),"未匹配"))</f>
        <v>未匹配</v>
      </c>
      <c r="M17" s="26" t="str">
        <f>_xlfn.LET(_xlpm.d,VLOOKUP(D17,IMPORTRANGE("https://app.rwork.crc.com.cn/sheets/shtk9dJxf2RfI4iaZQvl0mDAYVe","'银行指标清单（财务）'!E:Q"),13,FALSE),IFERROR(IF(_xlpm.d="","未填写",_xlpm.d),"未匹配"))</f>
        <v>未匹配</v>
      </c>
      <c r="N17" s="61" t="s">
        <v>196</v>
      </c>
      <c r="O17" s="40"/>
      <c r="P17" s="30" t="s">
        <v>197</v>
      </c>
      <c r="Q17" s="31" t="s">
        <v>198</v>
      </c>
    </row>
    <row r="18" ht="51" customHeight="1" spans="1:17">
      <c r="A18" s="55"/>
      <c r="B18" s="80"/>
      <c r="C18" s="81">
        <v>15</v>
      </c>
      <c r="D18" s="82" t="s">
        <v>214</v>
      </c>
      <c r="E18" s="83" t="s">
        <v>59</v>
      </c>
      <c r="F18" s="90"/>
      <c r="G18" s="90"/>
      <c r="H18" s="90"/>
      <c r="I18" s="90"/>
      <c r="J18" s="87" t="str">
        <f>_xlfn.LET(_xlpm.d,VLOOKUP(D18,IMPORTRANGE("https://app.rwork.crc.com.cn/sheets/shtk9dJxf2RfI4iaZQvl0mDAYVe","'银行指标清单（财务）'!E:Q"),2,FALSE),IFERROR(IF(_xlpm.d="","未填写",_xlpm.d),"未匹配"))</f>
        <v>未匹配</v>
      </c>
      <c r="K18" s="26" t="str">
        <f>_xlfn.LET(_xlpm.d,VLOOKUP(D18,IMPORTRANGE("https://app.rwork.crc.com.cn/sheets/shtk9dJxf2RfI4iaZQvl0mDAYVe","'银行指标清单（财务）'!E:Q"),3,FALSE),IFERROR(IF(_xlpm.d="","未填写",_xlpm.d),"未匹配"))</f>
        <v>未匹配</v>
      </c>
      <c r="L18" s="26" t="str">
        <f>_xlfn.LET(_xlpm.d,VLOOKUP(D18,IMPORTRANGE("https://app.rwork.crc.com.cn/sheets/shtk9dJxf2RfI4iaZQvl0mDAYVe","'银行指标清单（财务）'!E:Q"),5,FALSE),IFERROR(IF(_xlpm.d="","未填写",_xlpm.d),"未匹配"))</f>
        <v>未匹配</v>
      </c>
      <c r="M18" s="27" t="str">
        <f>_xlfn.LET(_xlpm.d,VLOOKUP(D18,IMPORTRANGE("https://app.rwork.crc.com.cn/sheets/shtk9dJxf2RfI4iaZQvl0mDAYVe","'银行指标清单（财务）'!E:Q"),13,FALSE),IFERROR(IF(_xlpm.d="","未填写",_xlpm.d),"未匹配"))</f>
        <v>未匹配</v>
      </c>
      <c r="N18" s="76" t="s">
        <v>196</v>
      </c>
      <c r="O18" s="40"/>
      <c r="P18" s="30" t="s">
        <v>197</v>
      </c>
      <c r="Q18" s="31" t="s">
        <v>198</v>
      </c>
    </row>
  </sheetData>
  <mergeCells count="18">
    <mergeCell ref="A1:I1"/>
    <mergeCell ref="G2:I2"/>
    <mergeCell ref="A2:A3"/>
    <mergeCell ref="A4:A18"/>
    <mergeCell ref="B2:B3"/>
    <mergeCell ref="B4:B10"/>
    <mergeCell ref="B11:B16"/>
    <mergeCell ref="B17:B18"/>
    <mergeCell ref="C2:C3"/>
    <mergeCell ref="D2:D3"/>
    <mergeCell ref="E2:E3"/>
    <mergeCell ref="F2:F3"/>
    <mergeCell ref="J2:J3"/>
    <mergeCell ref="K2:K3"/>
    <mergeCell ref="L2:L3"/>
    <mergeCell ref="M2:M3"/>
    <mergeCell ref="N2:N3"/>
    <mergeCell ref="O2:O3"/>
  </mergeCells>
  <pageMargins left="0.75" right="0.75" top="1" bottom="1" header="0.5" footer="0.5"/>
  <headerFooter/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4"/>
  <sheetViews>
    <sheetView workbookViewId="0">
      <pane xSplit="5" ySplit="4" topLeftCell="F5" activePane="bottomRight" state="frozen"/>
      <selection/>
      <selection pane="topRight"/>
      <selection pane="bottomLeft"/>
      <selection pane="bottomRight" activeCell="A1" sqref="A1:L1"/>
    </sheetView>
  </sheetViews>
  <sheetFormatPr defaultColWidth="14" defaultRowHeight="12.75"/>
  <cols>
    <col min="1" max="1" width="6" customWidth="1"/>
    <col min="2" max="2" width="21" customWidth="1"/>
    <col min="3" max="3" width="6" customWidth="1"/>
    <col min="4" max="4" width="24" customWidth="1"/>
    <col min="5" max="5" width="11" customWidth="1"/>
    <col min="6" max="6" width="14" customWidth="1"/>
    <col min="7" max="11" width="12" customWidth="1"/>
    <col min="12" max="12" width="36" customWidth="1"/>
    <col min="13" max="13" width="14" hidden="1" customWidth="1"/>
    <col min="14" max="14" width="40" hidden="1" customWidth="1"/>
    <col min="15" max="15" width="24" hidden="1" customWidth="1"/>
    <col min="16" max="16" width="30" hidden="1" customWidth="1"/>
    <col min="17" max="17" width="12" hidden="1" customWidth="1"/>
    <col min="18" max="18" width="39" hidden="1" customWidth="1"/>
    <col min="19" max="20" width="9" customWidth="1"/>
  </cols>
  <sheetData>
    <row r="1" ht="38" customHeight="1" spans="1:20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R1" s="4"/>
    </row>
    <row r="2" ht="17" customHeight="1" spans="1:20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R2" s="4"/>
    </row>
    <row r="3" ht="29" customHeight="1" spans="1:20">
      <c r="A3" s="6" t="s">
        <v>53</v>
      </c>
      <c r="B3" s="6" t="s">
        <v>94</v>
      </c>
      <c r="C3" s="6" t="s">
        <v>1</v>
      </c>
      <c r="D3" s="7" t="s">
        <v>2</v>
      </c>
      <c r="E3" s="7" t="s">
        <v>3</v>
      </c>
      <c r="F3" s="8" t="s">
        <v>32</v>
      </c>
      <c r="G3" s="8" t="s">
        <v>4</v>
      </c>
      <c r="H3" s="8" t="s">
        <v>5</v>
      </c>
      <c r="I3" s="8"/>
      <c r="J3" s="8"/>
      <c r="K3" s="7" t="s">
        <v>34</v>
      </c>
      <c r="L3" s="7" t="s">
        <v>35</v>
      </c>
      <c r="M3" s="9" t="s">
        <v>183</v>
      </c>
      <c r="N3" s="9" t="s">
        <v>184</v>
      </c>
      <c r="O3" s="9" t="s">
        <v>185</v>
      </c>
      <c r="P3" s="9" t="s">
        <v>186</v>
      </c>
      <c r="Q3" s="53" t="s">
        <v>187</v>
      </c>
      <c r="R3" s="54" t="s">
        <v>188</v>
      </c>
    </row>
    <row r="4" ht="29" customHeight="1" spans="1:20">
      <c r="A4" s="6"/>
      <c r="B4" s="6"/>
      <c r="C4" s="6"/>
      <c r="D4" s="7"/>
      <c r="E4" s="7"/>
      <c r="F4" s="13"/>
      <c r="G4" s="8"/>
      <c r="H4" s="13" t="s">
        <v>6</v>
      </c>
      <c r="I4" s="13" t="s">
        <v>7</v>
      </c>
      <c r="J4" s="13" t="s">
        <v>8</v>
      </c>
      <c r="K4" s="7"/>
      <c r="L4" s="7"/>
      <c r="M4" s="9"/>
      <c r="N4" s="9"/>
      <c r="O4" s="9"/>
      <c r="P4" s="9"/>
      <c r="Q4" s="53"/>
      <c r="R4" s="54"/>
      <c r="S4" s="15" t="s">
        <v>191</v>
      </c>
      <c r="T4" s="16" t="s">
        <v>192</v>
      </c>
    </row>
    <row r="5" ht="22" customHeight="1" spans="1:20">
      <c r="A5" s="55"/>
      <c r="B5" s="17" t="s">
        <v>215</v>
      </c>
      <c r="C5" s="56">
        <v>1</v>
      </c>
      <c r="D5" s="57" t="s">
        <v>216</v>
      </c>
      <c r="E5" s="58"/>
      <c r="F5" s="34" t="s">
        <v>159</v>
      </c>
      <c r="G5" s="59"/>
      <c r="H5" s="60"/>
      <c r="I5" s="23"/>
      <c r="J5" s="24"/>
      <c r="K5" s="25"/>
      <c r="L5" s="24" t="s">
        <v>217</v>
      </c>
      <c r="M5" s="26"/>
      <c r="N5" s="26"/>
      <c r="O5" s="26"/>
      <c r="P5" s="26"/>
      <c r="Q5" s="61"/>
      <c r="R5" s="29"/>
      <c r="S5" s="30" t="s">
        <v>197</v>
      </c>
      <c r="T5" s="31" t="s">
        <v>198</v>
      </c>
    </row>
    <row r="6" ht="22" customHeight="1" spans="1:20">
      <c r="A6" s="55"/>
      <c r="B6" s="17"/>
      <c r="C6" s="56">
        <v>2</v>
      </c>
      <c r="D6" s="57" t="s">
        <v>218</v>
      </c>
      <c r="E6" s="58"/>
      <c r="F6" s="22" t="s">
        <v>38</v>
      </c>
      <c r="G6" s="59"/>
      <c r="H6" s="60"/>
      <c r="I6" s="23"/>
      <c r="J6" s="24"/>
      <c r="K6" s="25">
        <v>600</v>
      </c>
      <c r="L6" s="44" t="s">
        <v>219</v>
      </c>
      <c r="M6" s="26"/>
      <c r="N6" s="26"/>
      <c r="O6" s="26"/>
      <c r="P6" s="26"/>
      <c r="Q6" s="61"/>
      <c r="R6" s="29"/>
      <c r="S6" s="37" t="s">
        <v>220</v>
      </c>
      <c r="T6" s="38" t="s">
        <v>198</v>
      </c>
    </row>
    <row r="7" ht="24.75" spans="1:20">
      <c r="A7" s="55" t="s">
        <v>221</v>
      </c>
      <c r="B7" s="17"/>
      <c r="C7" s="56">
        <v>3</v>
      </c>
      <c r="D7" s="62" t="s">
        <v>222</v>
      </c>
      <c r="E7" s="58" t="s">
        <v>223</v>
      </c>
      <c r="F7" s="34"/>
      <c r="G7" s="59"/>
      <c r="H7" s="60"/>
      <c r="I7" s="23"/>
      <c r="J7" s="24"/>
      <c r="L7" s="24"/>
      <c r="M7" s="26" t="str">
        <f>_xlfn.LET(_xlpm.d,VLOOKUP(D7,IMPORTRANGE("https://app.rwork.crc.com.cn/sheets/shtk9dJxf2RfI4iaZQvl0mDAYVe","'银行指标清单（业务）'!E:Q"),2,FALSE),IFERROR(IF(_xlpm.d="","未填写",_xlpm.d),"未匹配"))</f>
        <v>未匹配</v>
      </c>
      <c r="N7" s="26" t="str">
        <f>_xlfn.LET(_xlpm.d,VLOOKUP(D7,IMPORTRANGE("https://app.rwork.crc.com.cn/sheets/shtk9dJxf2RfI4iaZQvl0mDAYVe","'银行指标清单（业务）'!E:Q"),3,FALSE),IFERROR(IF(_xlpm.d="","未填写",_xlpm.d),"未匹配"))</f>
        <v>未匹配</v>
      </c>
      <c r="O7" s="26" t="str">
        <f>_xlfn.LET(_xlpm.d,VLOOKUP(D7,IMPORTRANGE("https://app.rwork.crc.com.cn/sheets/shtk9dJxf2RfI4iaZQvl0mDAYVe","'银行指标清单（业务）'!E:Q"),5,FALSE),IFERROR(IF(_xlpm.d="","未填写",_xlpm.d),"未匹配"))</f>
        <v>未匹配</v>
      </c>
      <c r="P7" s="26" t="str">
        <f>_xlfn.LET(_xlpm.d,VLOOKUP(D7,IMPORTRANGE("https://app.rwork.crc.com.cn/sheets/shtk9dJxf2RfI4iaZQvl0mDAYVe","'银行指标清单（业务）'!E:Q"),13,FALSE),IFERROR(IF(_xlpm.d="","未填写",_xlpm.d),"未匹配"))</f>
        <v>未匹配</v>
      </c>
      <c r="Q7" s="61" t="s">
        <v>224</v>
      </c>
      <c r="R7" s="29" t="s">
        <v>225</v>
      </c>
      <c r="S7" s="30" t="s">
        <v>197</v>
      </c>
      <c r="T7" s="31" t="s">
        <v>198</v>
      </c>
    </row>
    <row r="8" ht="15" spans="1:20">
      <c r="A8" s="55"/>
      <c r="B8" s="17"/>
      <c r="C8" s="56">
        <v>4</v>
      </c>
      <c r="D8" s="63" t="s">
        <v>226</v>
      </c>
      <c r="E8" s="58" t="s">
        <v>223</v>
      </c>
      <c r="F8" s="21"/>
      <c r="G8" s="59"/>
      <c r="H8" s="60"/>
      <c r="I8" s="23"/>
      <c r="J8" s="24"/>
      <c r="K8" s="25"/>
      <c r="L8" s="24"/>
      <c r="M8" s="26" t="str">
        <f>_xlfn.LET(_xlpm.d,VLOOKUP(D8,IMPORTRANGE("https://app.rwork.crc.com.cn/sheets/shtk9dJxf2RfI4iaZQvl0mDAYVe","'银行指标清单（业务）'!E:Q"),2,FALSE),IFERROR(IF(_xlpm.d="","未填写",_xlpm.d),"未匹配"))</f>
        <v>未匹配</v>
      </c>
      <c r="N8" s="26" t="str">
        <f>_xlfn.LET(_xlpm.d,VLOOKUP(D8,IMPORTRANGE("https://app.rwork.crc.com.cn/sheets/shtk9dJxf2RfI4iaZQvl0mDAYVe","'银行指标清单（业务）'!E:Q"),3,FALSE),IFERROR(IF(_xlpm.d="","未填写",_xlpm.d),"未匹配"))</f>
        <v>未匹配</v>
      </c>
      <c r="O8" s="26" t="str">
        <f>_xlfn.LET(_xlpm.d,VLOOKUP(D8,IMPORTRANGE("https://app.rwork.crc.com.cn/sheets/shtk9dJxf2RfI4iaZQvl0mDAYVe","'银行指标清单（业务）'!E:Q"),5,FALSE),IFERROR(IF(_xlpm.d="","未填写",_xlpm.d),"未匹配"))</f>
        <v>未匹配</v>
      </c>
      <c r="P8" s="26" t="str">
        <f>_xlfn.LET(_xlpm.d,VLOOKUP(D8,IMPORTRANGE("https://app.rwork.crc.com.cn/sheets/shtk9dJxf2RfI4iaZQvl0mDAYVe","'银行指标清单（业务）'!E:Q"),13,FALSE),IFERROR(IF(_xlpm.d="","未填写",_xlpm.d),"未匹配"))</f>
        <v>未匹配</v>
      </c>
      <c r="Q8" s="61" t="s">
        <v>224</v>
      </c>
      <c r="R8" s="29"/>
      <c r="S8" s="30" t="s">
        <v>197</v>
      </c>
      <c r="T8" s="31" t="s">
        <v>198</v>
      </c>
    </row>
    <row r="9" ht="24.75" spans="1:20">
      <c r="A9" s="55"/>
      <c r="B9" s="17"/>
      <c r="C9" s="56">
        <v>5</v>
      </c>
      <c r="D9" s="63" t="s">
        <v>227</v>
      </c>
      <c r="E9" s="58" t="s">
        <v>223</v>
      </c>
      <c r="F9" s="21"/>
      <c r="G9" s="59"/>
      <c r="H9" s="60"/>
      <c r="I9" s="23"/>
      <c r="J9" s="24"/>
      <c r="K9" s="25"/>
      <c r="L9" s="24"/>
      <c r="M9" s="26" t="str">
        <f>_xlfn.LET(_xlpm.d,VLOOKUP(D9,IMPORTRANGE("https://app.rwork.crc.com.cn/sheets/shtk9dJxf2RfI4iaZQvl0mDAYVe","'银行指标清单（业务）'!E:Q"),2,FALSE),IFERROR(IF(_xlpm.d="","未填写",_xlpm.d),"未匹配"))</f>
        <v>未匹配</v>
      </c>
      <c r="N9" s="26" t="str">
        <f>_xlfn.LET(_xlpm.d,VLOOKUP(D9,IMPORTRANGE("https://app.rwork.crc.com.cn/sheets/shtk9dJxf2RfI4iaZQvl0mDAYVe","'银行指标清单（业务）'!E:Q"),3,FALSE),IFERROR(IF(_xlpm.d="","未填写",_xlpm.d),"未匹配"))</f>
        <v>未匹配</v>
      </c>
      <c r="O9" s="26" t="str">
        <f>_xlfn.LET(_xlpm.d,VLOOKUP(D9,IMPORTRANGE("https://app.rwork.crc.com.cn/sheets/shtk9dJxf2RfI4iaZQvl0mDAYVe","'银行指标清单（业务）'!E:Q"),5,FALSE),IFERROR(IF(_xlpm.d="","未填写",_xlpm.d),"未匹配"))</f>
        <v>未匹配</v>
      </c>
      <c r="P9" s="26" t="str">
        <f>_xlfn.LET(_xlpm.d,VLOOKUP(D9,IMPORTRANGE("https://app.rwork.crc.com.cn/sheets/shtk9dJxf2RfI4iaZQvl0mDAYVe","'银行指标清单（业务）'!E:Q"),13,FALSE),IFERROR(IF(_xlpm.d="","未填写",_xlpm.d),"未匹配"))</f>
        <v>未匹配</v>
      </c>
      <c r="Q9" s="61" t="s">
        <v>224</v>
      </c>
      <c r="R9" s="64" t="s">
        <v>228</v>
      </c>
      <c r="S9" s="30" t="s">
        <v>197</v>
      </c>
      <c r="T9" s="31" t="s">
        <v>198</v>
      </c>
    </row>
    <row r="10" ht="37.15" spans="1:20">
      <c r="A10" s="55"/>
      <c r="B10" s="17"/>
      <c r="C10" s="56">
        <v>6</v>
      </c>
      <c r="D10" s="65" t="s">
        <v>229</v>
      </c>
      <c r="E10" s="66" t="s">
        <v>223</v>
      </c>
      <c r="F10" s="34" t="s">
        <v>172</v>
      </c>
      <c r="G10" s="59"/>
      <c r="H10" s="60"/>
      <c r="I10" s="23"/>
      <c r="J10" s="24"/>
      <c r="K10" s="25"/>
      <c r="L10" s="24" t="s">
        <v>217</v>
      </c>
      <c r="M10" s="67" t="s">
        <v>230</v>
      </c>
      <c r="N10" s="67" t="s">
        <v>231</v>
      </c>
      <c r="O10" s="67" t="s">
        <v>232</v>
      </c>
      <c r="P10" s="67"/>
      <c r="Q10" s="68" t="s">
        <v>224</v>
      </c>
      <c r="R10" s="69" t="s">
        <v>233</v>
      </c>
      <c r="S10" s="30" t="s">
        <v>197</v>
      </c>
      <c r="T10" s="31" t="s">
        <v>198</v>
      </c>
    </row>
    <row r="11" ht="45" customHeight="1" spans="1:20">
      <c r="A11" s="55"/>
      <c r="B11" s="17"/>
      <c r="C11" s="56">
        <v>7</v>
      </c>
      <c r="D11" s="70" t="s">
        <v>234</v>
      </c>
      <c r="E11" s="58" t="s">
        <v>223</v>
      </c>
      <c r="F11" s="34" t="s">
        <v>159</v>
      </c>
      <c r="G11" s="59"/>
      <c r="H11" s="60"/>
      <c r="I11" s="23"/>
      <c r="J11" s="24"/>
      <c r="K11" s="25"/>
      <c r="L11" s="24" t="s">
        <v>217</v>
      </c>
      <c r="M11" s="26" t="s">
        <v>230</v>
      </c>
      <c r="N11" s="26" t="s">
        <v>235</v>
      </c>
      <c r="O11" s="26"/>
      <c r="P11" s="26"/>
      <c r="Q11" s="61"/>
      <c r="R11" s="69" t="s">
        <v>235</v>
      </c>
      <c r="S11" s="30" t="s">
        <v>197</v>
      </c>
      <c r="T11" s="31" t="s">
        <v>198</v>
      </c>
    </row>
    <row r="12" ht="15" spans="1:20">
      <c r="A12" s="55"/>
      <c r="B12" s="17" t="s">
        <v>236</v>
      </c>
      <c r="C12" s="56">
        <v>8</v>
      </c>
      <c r="D12" s="62" t="s">
        <v>237</v>
      </c>
      <c r="E12" s="58" t="s">
        <v>238</v>
      </c>
      <c r="F12" s="21"/>
      <c r="G12" s="59"/>
      <c r="H12" s="60"/>
      <c r="I12" s="23"/>
      <c r="J12" s="24"/>
      <c r="K12" s="25"/>
      <c r="L12" s="24"/>
      <c r="M12" s="26" t="str">
        <f>_xlfn.LET(_xlpm.d,VLOOKUP(D12,IMPORTRANGE("https://app.rwork.crc.com.cn/sheets/shtk9dJxf2RfI4iaZQvl0mDAYVe","'银行指标清单（业务）'!E:Q"),2,FALSE),IFERROR(IF(_xlpm.d="","未填写",_xlpm.d),"未匹配"))</f>
        <v>未匹配</v>
      </c>
      <c r="N12" s="26" t="str">
        <f>_xlfn.LET(_xlpm.d,VLOOKUP(D12,IMPORTRANGE("https://app.rwork.crc.com.cn/sheets/shtk9dJxf2RfI4iaZQvl0mDAYVe","'银行指标清单（业务）'!E:Q"),3,FALSE),IFERROR(IF(_xlpm.d="","未填写",_xlpm.d),"未匹配"))</f>
        <v>未匹配</v>
      </c>
      <c r="O12" s="26" t="str">
        <f>_xlfn.LET(_xlpm.d,VLOOKUP(D12,IMPORTRANGE("https://app.rwork.crc.com.cn/sheets/shtk9dJxf2RfI4iaZQvl0mDAYVe","'银行指标清单（业务）'!E:Q"),5,FALSE),IFERROR(IF(_xlpm.d="","未填写",_xlpm.d),"未匹配"))</f>
        <v>未匹配</v>
      </c>
      <c r="P12" s="26" t="str">
        <f>_xlfn.LET(_xlpm.d,VLOOKUP(D12,IMPORTRANGE("https://app.rwork.crc.com.cn/sheets/shtk9dJxf2RfI4iaZQvl0mDAYVe","'银行指标清单（业务）'!E:Q"),13,FALSE),IFERROR(IF(_xlpm.d="","未填写",_xlpm.d),"未匹配"))</f>
        <v>未匹配</v>
      </c>
      <c r="Q12" s="61" t="s">
        <v>224</v>
      </c>
      <c r="R12" s="29"/>
      <c r="S12" s="30" t="s">
        <v>197</v>
      </c>
      <c r="T12" s="31" t="s">
        <v>198</v>
      </c>
    </row>
    <row r="13" ht="15" spans="1:20">
      <c r="A13" s="55"/>
      <c r="B13" s="17"/>
      <c r="C13" s="56">
        <v>9</v>
      </c>
      <c r="D13" s="62" t="s">
        <v>239</v>
      </c>
      <c r="E13" s="58" t="s">
        <v>238</v>
      </c>
      <c r="F13" s="21"/>
      <c r="G13" s="59"/>
      <c r="H13" s="60"/>
      <c r="I13" s="23"/>
      <c r="J13" s="24"/>
      <c r="K13" s="25"/>
      <c r="L13" s="24"/>
      <c r="M13" s="26" t="str">
        <f>_xlfn.LET(_xlpm.d,VLOOKUP(D13,IMPORTRANGE("https://app.rwork.crc.com.cn/sheets/shtk9dJxf2RfI4iaZQvl0mDAYVe","'银行指标清单（业务）'!E:Q"),2,FALSE),IFERROR(IF(_xlpm.d="","未填写",_xlpm.d),"未匹配"))</f>
        <v>未匹配</v>
      </c>
      <c r="N13" s="26" t="str">
        <f>_xlfn.LET(_xlpm.d,VLOOKUP(D13,IMPORTRANGE("https://app.rwork.crc.com.cn/sheets/shtk9dJxf2RfI4iaZQvl0mDAYVe","'银行指标清单（业务）'!E:Q"),3,FALSE),IFERROR(IF(_xlpm.d="","未填写",_xlpm.d),"未匹配"))</f>
        <v>未匹配</v>
      </c>
      <c r="O13" s="26" t="str">
        <f>_xlfn.LET(_xlpm.d,VLOOKUP(D13,IMPORTRANGE("https://app.rwork.crc.com.cn/sheets/shtk9dJxf2RfI4iaZQvl0mDAYVe","'银行指标清单（业务）'!E:Q"),5,FALSE),IFERROR(IF(_xlpm.d="","未填写",_xlpm.d),"未匹配"))</f>
        <v>未匹配</v>
      </c>
      <c r="P13" s="26" t="str">
        <f>_xlfn.LET(_xlpm.d,VLOOKUP(D13,IMPORTRANGE("https://app.rwork.crc.com.cn/sheets/shtk9dJxf2RfI4iaZQvl0mDAYVe","'银行指标清单（业务）'!E:Q"),13,FALSE),IFERROR(IF(_xlpm.d="","未填写",_xlpm.d),"未匹配"))</f>
        <v>未匹配</v>
      </c>
      <c r="Q13" s="61" t="s">
        <v>224</v>
      </c>
      <c r="R13" s="29"/>
      <c r="S13" s="30" t="s">
        <v>197</v>
      </c>
      <c r="T13" s="31" t="s">
        <v>198</v>
      </c>
    </row>
    <row r="14" ht="15" spans="1:20">
      <c r="A14" s="55"/>
      <c r="B14" s="17"/>
      <c r="C14" s="56">
        <v>10</v>
      </c>
      <c r="D14" s="62" t="s">
        <v>240</v>
      </c>
      <c r="E14" s="58" t="s">
        <v>223</v>
      </c>
      <c r="F14" s="34" t="s">
        <v>172</v>
      </c>
      <c r="G14" s="59"/>
      <c r="H14" s="60"/>
      <c r="I14" s="23"/>
      <c r="J14" s="24"/>
      <c r="K14" s="25"/>
      <c r="L14" s="24" t="s">
        <v>217</v>
      </c>
      <c r="M14" s="26" t="str">
        <f>_xlfn.LET(_xlpm.d,VLOOKUP(D14,IMPORTRANGE("https://app.rwork.crc.com.cn/sheets/shtk9dJxf2RfI4iaZQvl0mDAYVe","'银行指标清单（业务）'!E:Q"),2,FALSE),IFERROR(IF(_xlpm.d="","未填写",_xlpm.d),"未匹配"))</f>
        <v>未匹配</v>
      </c>
      <c r="N14" s="26" t="str">
        <f>_xlfn.LET(_xlpm.d,VLOOKUP(D14,IMPORTRANGE("https://app.rwork.crc.com.cn/sheets/shtk9dJxf2RfI4iaZQvl0mDAYVe","'银行指标清单（业务）'!E:Q"),3,FALSE),IFERROR(IF(_xlpm.d="","未填写",_xlpm.d),"未匹配"))</f>
        <v>未匹配</v>
      </c>
      <c r="O14" s="26" t="str">
        <f>_xlfn.LET(_xlpm.d,VLOOKUP(D14,IMPORTRANGE("https://app.rwork.crc.com.cn/sheets/shtk9dJxf2RfI4iaZQvl0mDAYVe","'银行指标清单（业务）'!E:Q"),5,FALSE),IFERROR(IF(_xlpm.d="","未填写",_xlpm.d),"未匹配"))</f>
        <v>未匹配</v>
      </c>
      <c r="P14" s="26" t="str">
        <f>_xlfn.LET(_xlpm.d,VLOOKUP(D14,IMPORTRANGE("https://app.rwork.crc.com.cn/sheets/shtk9dJxf2RfI4iaZQvl0mDAYVe","'银行指标清单（业务）'!E:Q"),13,FALSE),IFERROR(IF(_xlpm.d="","未填写",_xlpm.d),"未匹配"))</f>
        <v>未匹配</v>
      </c>
      <c r="Q14" s="61" t="s">
        <v>224</v>
      </c>
      <c r="R14" s="29"/>
      <c r="S14" s="30" t="s">
        <v>197</v>
      </c>
      <c r="T14" s="31" t="s">
        <v>198</v>
      </c>
    </row>
    <row r="15" ht="83" customHeight="1" spans="1:20">
      <c r="A15" s="55"/>
      <c r="B15" s="17"/>
      <c r="C15" s="56">
        <v>11</v>
      </c>
      <c r="D15" s="70" t="s">
        <v>241</v>
      </c>
      <c r="E15" s="58" t="s">
        <v>223</v>
      </c>
      <c r="F15" s="34" t="s">
        <v>159</v>
      </c>
      <c r="G15" s="59"/>
      <c r="H15" s="60"/>
      <c r="I15" s="23"/>
      <c r="J15" s="24"/>
      <c r="K15" s="25"/>
      <c r="L15" s="24" t="s">
        <v>217</v>
      </c>
      <c r="M15" s="26"/>
      <c r="N15" s="26" t="s">
        <v>242</v>
      </c>
      <c r="O15" s="26"/>
      <c r="P15" s="26"/>
      <c r="Q15" s="61"/>
      <c r="R15" s="29" t="s">
        <v>242</v>
      </c>
      <c r="S15" s="30" t="s">
        <v>197</v>
      </c>
      <c r="T15" s="31" t="s">
        <v>198</v>
      </c>
    </row>
    <row r="16" ht="15" spans="1:20">
      <c r="A16" s="55"/>
      <c r="B16" s="17" t="s">
        <v>212</v>
      </c>
      <c r="C16" s="56">
        <v>12</v>
      </c>
      <c r="D16" s="62" t="s">
        <v>243</v>
      </c>
      <c r="E16" s="71" t="s">
        <v>238</v>
      </c>
      <c r="F16" s="72"/>
      <c r="G16" s="22"/>
      <c r="H16" s="73"/>
      <c r="I16" s="24"/>
      <c r="J16" s="32"/>
      <c r="K16" s="33"/>
      <c r="L16" s="32"/>
      <c r="M16" s="26" t="str">
        <f>_xlfn.LET(_xlpm.d,VLOOKUP(D16,IMPORTRANGE("https://app.rwork.crc.com.cn/sheets/shtk9dJxf2RfI4iaZQvl0mDAYVe","'银行指标清单（业务）'!E:Q"),2,FALSE),IFERROR(IF(_xlpm.d="","未填写",_xlpm.d),"未匹配"))</f>
        <v>未匹配</v>
      </c>
      <c r="N16" s="26" t="str">
        <f>_xlfn.LET(_xlpm.d,VLOOKUP(D16,IMPORTRANGE("https://app.rwork.crc.com.cn/sheets/shtk9dJxf2RfI4iaZQvl0mDAYVe","'银行指标清单（业务）'!E:Q"),3,FALSE),IFERROR(IF(_xlpm.d="","未填写",_xlpm.d),"未匹配"))</f>
        <v>未匹配</v>
      </c>
      <c r="O16" s="26" t="str">
        <f>_xlfn.LET(_xlpm.d,VLOOKUP(D16,IMPORTRANGE("https://app.rwork.crc.com.cn/sheets/shtk9dJxf2RfI4iaZQvl0mDAYVe","'银行指标清单（业务）'!E:Q"),5,FALSE),IFERROR(IF(_xlpm.d="","未填写",_xlpm.d),"未匹配"))</f>
        <v>未匹配</v>
      </c>
      <c r="P16" s="26" t="str">
        <f>_xlfn.LET(_xlpm.d,VLOOKUP(D16,IMPORTRANGE("https://app.rwork.crc.com.cn/sheets/shtk9dJxf2RfI4iaZQvl0mDAYVe","'银行指标清单（业务）'!E:Q"),13,FALSE),IFERROR(IF(_xlpm.d="","未填写",_xlpm.d),"未匹配"))</f>
        <v>未匹配</v>
      </c>
      <c r="Q16" s="61" t="s">
        <v>224</v>
      </c>
      <c r="R16" s="64" t="s">
        <v>243</v>
      </c>
      <c r="S16" s="30" t="s">
        <v>197</v>
      </c>
      <c r="T16" s="31" t="s">
        <v>198</v>
      </c>
    </row>
    <row r="17" ht="15" spans="1:20">
      <c r="A17" s="55"/>
      <c r="B17" s="17"/>
      <c r="C17" s="56">
        <v>13</v>
      </c>
      <c r="D17" s="62" t="s">
        <v>244</v>
      </c>
      <c r="E17" s="71" t="s">
        <v>238</v>
      </c>
      <c r="F17" s="74"/>
      <c r="G17" s="22"/>
      <c r="H17" s="60"/>
      <c r="I17" s="23"/>
      <c r="J17" s="23"/>
      <c r="K17" s="24"/>
      <c r="L17" s="32"/>
      <c r="M17" s="26" t="str">
        <f>_xlfn.LET(_xlpm.d,VLOOKUP(D17,IMPORTRANGE("https://app.rwork.crc.com.cn/sheets/shtk9dJxf2RfI4iaZQvl0mDAYVe","'银行指标清单（业务）'!E:Q"),2,FALSE),IFERROR(IF(_xlpm.d="","未填写",_xlpm.d),"未匹配"))</f>
        <v>未匹配</v>
      </c>
      <c r="N17" s="26" t="str">
        <f>_xlfn.LET(_xlpm.d,VLOOKUP(D17,IMPORTRANGE("https://app.rwork.crc.com.cn/sheets/shtk9dJxf2RfI4iaZQvl0mDAYVe","'银行指标清单（业务）'!E:Q"),3,FALSE),IFERROR(IF(_xlpm.d="","未填写",_xlpm.d),"未匹配"))</f>
        <v>未匹配</v>
      </c>
      <c r="O17" s="26" t="str">
        <f>_xlfn.LET(_xlpm.d,VLOOKUP(D17,IMPORTRANGE("https://app.rwork.crc.com.cn/sheets/shtk9dJxf2RfI4iaZQvl0mDAYVe","'银行指标清单（业务）'!E:Q"),5,FALSE),IFERROR(IF(_xlpm.d="","未填写",_xlpm.d),"未匹配"))</f>
        <v>未匹配</v>
      </c>
      <c r="P17" s="26" t="str">
        <f>_xlfn.LET(_xlpm.d,VLOOKUP(D17,IMPORTRANGE("https://app.rwork.crc.com.cn/sheets/shtk9dJxf2RfI4iaZQvl0mDAYVe","'银行指标清单（业务）'!E:Q"),13,FALSE),IFERROR(IF(_xlpm.d="","未填写",_xlpm.d),"未匹配"))</f>
        <v>未匹配</v>
      </c>
      <c r="Q17" s="61" t="s">
        <v>224</v>
      </c>
      <c r="R17" s="64" t="s">
        <v>244</v>
      </c>
      <c r="S17" s="30" t="s">
        <v>197</v>
      </c>
      <c r="T17" s="31" t="s">
        <v>198</v>
      </c>
    </row>
    <row r="18" ht="15" spans="1:20">
      <c r="A18" s="55"/>
      <c r="B18" s="17"/>
      <c r="C18" s="56">
        <v>14</v>
      </c>
      <c r="D18" s="62" t="s">
        <v>245</v>
      </c>
      <c r="E18" s="71" t="s">
        <v>223</v>
      </c>
      <c r="F18" s="75"/>
      <c r="G18" s="25"/>
      <c r="H18" s="43"/>
      <c r="I18" s="25"/>
      <c r="J18" s="25"/>
      <c r="K18" s="25"/>
      <c r="L18" s="25"/>
      <c r="M18" s="26" t="str">
        <f>_xlfn.LET(_xlpm.d,VLOOKUP(D18,IMPORTRANGE("https://app.rwork.crc.com.cn/sheets/shtk9dJxf2RfI4iaZQvl0mDAYVe","'银行指标清单（业务）'!E:Q"),2,FALSE),IFERROR(IF(_xlpm.d="","未填写",_xlpm.d),"未匹配"))</f>
        <v>未匹配</v>
      </c>
      <c r="N18" s="26" t="str">
        <f>_xlfn.LET(_xlpm.d,VLOOKUP(D18,IMPORTRANGE("https://app.rwork.crc.com.cn/sheets/shtk9dJxf2RfI4iaZQvl0mDAYVe","'银行指标清单（业务）'!E:Q"),3,FALSE),IFERROR(IF(_xlpm.d="","未填写",_xlpm.d),"未匹配"))</f>
        <v>未匹配</v>
      </c>
      <c r="O18" s="26" t="str">
        <f>_xlfn.LET(_xlpm.d,VLOOKUP(D18,IMPORTRANGE("https://app.rwork.crc.com.cn/sheets/shtk9dJxf2RfI4iaZQvl0mDAYVe","'银行指标清单（业务）'!E:Q"),5,FALSE),IFERROR(IF(_xlpm.d="","未填写",_xlpm.d),"未匹配"))</f>
        <v>未匹配</v>
      </c>
      <c r="P18" s="27" t="str">
        <f>_xlfn.LET(_xlpm.d,VLOOKUP(D18,IMPORTRANGE("https://app.rwork.crc.com.cn/sheets/shtk9dJxf2RfI4iaZQvl0mDAYVe","'银行指标清单（业务）'!E:Q"),13,FALSE),IFERROR(IF(_xlpm.d="","未填写",_xlpm.d),"未匹配"))</f>
        <v>未匹配</v>
      </c>
      <c r="Q18" s="76" t="s">
        <v>224</v>
      </c>
      <c r="R18" s="64" t="s">
        <v>245</v>
      </c>
      <c r="S18" s="30" t="s">
        <v>197</v>
      </c>
      <c r="T18" s="31" t="s">
        <v>198</v>
      </c>
    </row>
    <row r="19" ht="24" customHeight="1" spans="1:20">
      <c r="A19" s="77"/>
      <c r="B19" s="77"/>
      <c r="F19" s="51"/>
      <c r="G19" s="51"/>
      <c r="H19" s="51"/>
      <c r="I19" s="51"/>
      <c r="J19" s="51"/>
      <c r="K19" s="51"/>
      <c r="L19" s="51"/>
      <c r="M19" s="51"/>
      <c r="N19" s="51"/>
      <c r="R19" s="4"/>
    </row>
    <row r="20" ht="24" customHeight="1" spans="1:20">
      <c r="A20" s="77"/>
      <c r="B20" s="77"/>
      <c r="F20" s="51"/>
      <c r="G20" s="51"/>
      <c r="H20" s="51"/>
      <c r="I20" s="51"/>
      <c r="J20" s="51"/>
      <c r="K20" s="51"/>
      <c r="L20" s="51"/>
      <c r="M20" s="51"/>
      <c r="N20" s="51"/>
      <c r="R20" s="4"/>
    </row>
    <row r="21" ht="24" customHeight="1" spans="1:20">
      <c r="A21" s="77"/>
      <c r="B21" s="77"/>
      <c r="F21" s="51"/>
      <c r="G21" s="51"/>
      <c r="H21" s="51"/>
      <c r="I21" s="51"/>
      <c r="J21" s="51"/>
      <c r="K21" s="51"/>
      <c r="L21" s="51"/>
      <c r="M21" s="51"/>
      <c r="N21" s="51"/>
      <c r="R21" s="4"/>
    </row>
    <row r="22" ht="24" customHeight="1" spans="1:20">
      <c r="A22" s="77"/>
      <c r="B22" s="77"/>
      <c r="F22" s="51"/>
      <c r="G22" s="51"/>
      <c r="H22" s="51"/>
      <c r="I22" s="51"/>
      <c r="J22" s="51"/>
      <c r="K22" s="51"/>
      <c r="L22" s="51"/>
      <c r="M22" s="51"/>
      <c r="N22" s="51"/>
      <c r="R22" s="4"/>
    </row>
    <row r="23" ht="24" customHeight="1" spans="1:20">
      <c r="A23" s="77"/>
      <c r="B23" s="77"/>
      <c r="F23" s="51"/>
      <c r="G23" s="51"/>
      <c r="H23" s="51"/>
      <c r="I23" s="51"/>
      <c r="J23" s="51"/>
      <c r="K23" s="51"/>
      <c r="L23" s="51"/>
      <c r="M23" s="51"/>
      <c r="N23" s="51"/>
      <c r="R23" s="4"/>
    </row>
    <row r="24" ht="24" customHeight="1" spans="1:20">
      <c r="A24" s="77"/>
      <c r="B24" s="77"/>
      <c r="F24" s="51"/>
      <c r="G24" s="51"/>
      <c r="H24" s="51"/>
      <c r="I24" s="51"/>
      <c r="J24" s="51"/>
      <c r="K24" s="51"/>
      <c r="L24" s="51"/>
      <c r="M24" s="51"/>
      <c r="N24" s="51"/>
      <c r="R24" s="4"/>
    </row>
  </sheetData>
  <mergeCells count="22">
    <mergeCell ref="A1:L1"/>
    <mergeCell ref="A2:L2"/>
    <mergeCell ref="H3:J3"/>
    <mergeCell ref="A3:A4"/>
    <mergeCell ref="A7:A18"/>
    <mergeCell ref="B3:B4"/>
    <mergeCell ref="B5:B11"/>
    <mergeCell ref="B12:B15"/>
    <mergeCell ref="B16:B18"/>
    <mergeCell ref="C3:C4"/>
    <mergeCell ref="D3:D4"/>
    <mergeCell ref="E3:E4"/>
    <mergeCell ref="F3:F4"/>
    <mergeCell ref="G3:G4"/>
    <mergeCell ref="K3:K4"/>
    <mergeCell ref="L3:L4"/>
    <mergeCell ref="M3:M4"/>
    <mergeCell ref="N3:N4"/>
    <mergeCell ref="O3:O4"/>
    <mergeCell ref="P3:P4"/>
    <mergeCell ref="Q3:Q4"/>
    <mergeCell ref="R3:R4"/>
  </mergeCells>
  <pageMargins left="0.75" right="0.75" top="1" bottom="1" header="0.5" footer="0.5"/>
  <headerFooter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"/>
  <sheetViews>
    <sheetView tabSelected="1" workbookViewId="0">
      <pane xSplit="4" ySplit="4" topLeftCell="E5" activePane="bottomRight" state="frozen"/>
      <selection/>
      <selection pane="topRight"/>
      <selection pane="bottomLeft"/>
      <selection pane="bottomRight" activeCell="F10" sqref="F10"/>
    </sheetView>
  </sheetViews>
  <sheetFormatPr defaultColWidth="14" defaultRowHeight="12.75"/>
  <cols>
    <col min="1" max="1" width="11" customWidth="1"/>
    <col min="2" max="2" width="6" customWidth="1"/>
    <col min="3" max="3" width="21" customWidth="1"/>
    <col min="4" max="4" width="11" customWidth="1"/>
    <col min="5" max="5" width="25" customWidth="1"/>
    <col min="6" max="10" width="12" customWidth="1"/>
    <col min="11" max="11" width="33" customWidth="1"/>
    <col min="12" max="12" width="18" hidden="1" customWidth="1"/>
    <col min="13" max="13" width="35" hidden="1" customWidth="1"/>
    <col min="14" max="14" width="25" hidden="1" customWidth="1"/>
    <col min="15" max="15" width="57" hidden="1" customWidth="1"/>
    <col min="16" max="17" width="14" hidden="1" customWidth="1"/>
    <col min="18" max="18" width="14" customWidth="1"/>
  </cols>
  <sheetData>
    <row r="1" ht="38" customHeight="1" spans="1:19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4"/>
      <c r="O1" s="4"/>
      <c r="P1" s="4"/>
      <c r="Q1" s="4"/>
      <c r="R1" s="4"/>
    </row>
    <row r="2" ht="38" customHeight="1" spans="1:19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4"/>
      <c r="O2" s="4"/>
      <c r="P2" s="4"/>
      <c r="Q2" s="4"/>
      <c r="R2" s="4"/>
    </row>
    <row r="3" ht="24" customHeight="1" spans="1:19">
      <c r="A3" s="6" t="s">
        <v>53</v>
      </c>
      <c r="B3" s="6" t="s">
        <v>1</v>
      </c>
      <c r="C3" s="7" t="s">
        <v>2</v>
      </c>
      <c r="D3" s="6" t="s">
        <v>3</v>
      </c>
      <c r="E3" s="8" t="s">
        <v>32</v>
      </c>
      <c r="F3" s="8" t="s">
        <v>4</v>
      </c>
      <c r="G3" s="8" t="s">
        <v>5</v>
      </c>
      <c r="H3" s="8"/>
      <c r="I3" s="8"/>
      <c r="J3" s="7" t="s">
        <v>34</v>
      </c>
      <c r="K3" s="7" t="s">
        <v>35</v>
      </c>
      <c r="L3" s="9" t="s">
        <v>183</v>
      </c>
      <c r="M3" s="9" t="s">
        <v>184</v>
      </c>
      <c r="N3" s="10" t="s">
        <v>185</v>
      </c>
      <c r="O3" s="10" t="s">
        <v>186</v>
      </c>
      <c r="P3" s="11" t="s">
        <v>224</v>
      </c>
      <c r="Q3" s="12" t="s">
        <v>188</v>
      </c>
    </row>
    <row r="4" ht="26" customHeight="1" spans="1:19">
      <c r="A4" s="6"/>
      <c r="B4" s="6"/>
      <c r="C4" s="7"/>
      <c r="D4" s="6"/>
      <c r="E4" s="8"/>
      <c r="F4" s="8"/>
      <c r="G4" s="13" t="s">
        <v>6</v>
      </c>
      <c r="H4" s="13" t="s">
        <v>7</v>
      </c>
      <c r="I4" s="13" t="s">
        <v>8</v>
      </c>
      <c r="J4" s="7"/>
      <c r="K4" s="7"/>
      <c r="L4" s="9"/>
      <c r="M4" s="9"/>
      <c r="N4" s="10"/>
      <c r="O4" s="10"/>
      <c r="P4" s="14"/>
      <c r="Q4" s="12"/>
      <c r="R4" s="15" t="s">
        <v>191</v>
      </c>
      <c r="S4" s="16" t="s">
        <v>192</v>
      </c>
    </row>
    <row r="5" ht="15" spans="1:19">
      <c r="A5" s="17" t="s">
        <v>246</v>
      </c>
      <c r="B5" s="18">
        <v>1</v>
      </c>
      <c r="C5" s="19" t="s">
        <v>247</v>
      </c>
      <c r="D5" s="20" t="s">
        <v>10</v>
      </c>
      <c r="E5" s="21"/>
      <c r="F5" s="22"/>
      <c r="G5" s="23"/>
      <c r="H5" s="23"/>
      <c r="I5" s="24"/>
      <c r="J5" s="25"/>
      <c r="K5" s="25"/>
      <c r="L5" s="26" t="str">
        <f>_xlfn.LET(_xlpm.d,VLOOKUP(C5,IMPORTRANGE("https://app.rwork.crc.com.cn/sheets/shtk9dJxf2RfI4iaZQvl0mDAYVe","'银行指标清单（风险）'!E:Q"),2,FALSE),IFERROR(IF(_xlpm.d="","未填写",_xlpm.d),"未匹配"))</f>
        <v>未匹配</v>
      </c>
      <c r="M5" s="26" t="str">
        <f>_xlfn.LET(_xlpm.d,VLOOKUP(C5,IMPORTRANGE("https://app.rwork.crc.com.cn/sheets/shtk9dJxf2RfI4iaZQvl0mDAYVe","'银行指标清单（风险）'!E:Q"),3,FALSE),IFERROR(IF(_xlpm.d="","未填写",_xlpm.d),"未匹配"))</f>
        <v>未匹配</v>
      </c>
      <c r="N5" s="26" t="str">
        <f>_xlfn.LET(_xlpm.d,VLOOKUP(C5,IMPORTRANGE("https://app.rwork.crc.com.cn/sheets/shtk9dJxf2RfI4iaZQvl0mDAYVe","'银行指标清单（风险）'!E:Q"),5,FALSE),IFERROR(IF(_xlpm.d="","未填写",_xlpm.d),"未匹配"))</f>
        <v>未匹配</v>
      </c>
      <c r="O5" s="27" t="str">
        <f>_xlfn.LET(_xlpm.d,VLOOKUP(C5,IMPORTRANGE("https://app.rwork.crc.com.cn/sheets/shtk9dJxf2RfI4iaZQvl0mDAYVe","'银行指标清单（风险）'!E:Q"),13,FALSE),IFERROR(IF(_xlpm.d="","未填写",_xlpm.d),"未匹配"))</f>
        <v>未匹配</v>
      </c>
      <c r="P5" s="28" t="s">
        <v>246</v>
      </c>
      <c r="Q5" s="29"/>
      <c r="R5" s="30" t="s">
        <v>197</v>
      </c>
      <c r="S5" s="31" t="s">
        <v>198</v>
      </c>
    </row>
    <row r="6" ht="15" spans="1:19">
      <c r="A6" s="17"/>
      <c r="B6" s="18">
        <v>2</v>
      </c>
      <c r="C6" s="19" t="s">
        <v>248</v>
      </c>
      <c r="D6" s="20" t="s">
        <v>10</v>
      </c>
      <c r="E6" s="21"/>
      <c r="F6" s="22"/>
      <c r="G6" s="23"/>
      <c r="H6" s="23"/>
      <c r="I6" s="24"/>
      <c r="J6" s="25"/>
      <c r="K6" s="25"/>
      <c r="L6" s="26" t="str">
        <f>_xlfn.LET(_xlpm.d,VLOOKUP(C6,IMPORTRANGE("https://app.rwork.crc.com.cn/sheets/shtk9dJxf2RfI4iaZQvl0mDAYVe","'银行指标清单（风险）'!E:Q"),2,FALSE),IFERROR(IF(_xlpm.d="","未填写",_xlpm.d),"未匹配"))</f>
        <v>未匹配</v>
      </c>
      <c r="M6" s="26" t="str">
        <f>_xlfn.LET(_xlpm.d,VLOOKUP(C6,IMPORTRANGE("https://app.rwork.crc.com.cn/sheets/shtk9dJxf2RfI4iaZQvl0mDAYVe","'银行指标清单（风险）'!E:Q"),3,FALSE),IFERROR(IF(_xlpm.d="","未填写",_xlpm.d),"未匹配"))</f>
        <v>未匹配</v>
      </c>
      <c r="N6" s="26" t="str">
        <f>_xlfn.LET(_xlpm.d,VLOOKUP(C6,IMPORTRANGE("https://app.rwork.crc.com.cn/sheets/shtk9dJxf2RfI4iaZQvl0mDAYVe","'银行指标清单（风险）'!E:Q"),5,FALSE),IFERROR(IF(_xlpm.d="","未填写",_xlpm.d),"未匹配"))</f>
        <v>未匹配</v>
      </c>
      <c r="O6" s="27" t="str">
        <f>_xlfn.LET(_xlpm.d,VLOOKUP(C6,IMPORTRANGE("https://app.rwork.crc.com.cn/sheets/shtk9dJxf2RfI4iaZQvl0mDAYVe","'银行指标清单（风险）'!E:Q"),13,FALSE),IFERROR(IF(_xlpm.d="","未填写",_xlpm.d),"未匹配"))</f>
        <v>未匹配</v>
      </c>
      <c r="P6" s="28" t="s">
        <v>246</v>
      </c>
      <c r="Q6" s="29"/>
      <c r="R6" s="30" t="s">
        <v>197</v>
      </c>
      <c r="S6" s="31" t="s">
        <v>198</v>
      </c>
    </row>
    <row r="7" ht="15" spans="1:19">
      <c r="A7" s="17"/>
      <c r="B7" s="18">
        <v>3</v>
      </c>
      <c r="C7" s="19" t="s">
        <v>249</v>
      </c>
      <c r="D7" s="20" t="s">
        <v>10</v>
      </c>
      <c r="E7" s="21"/>
      <c r="F7" s="22"/>
      <c r="G7" s="23"/>
      <c r="H7" s="23"/>
      <c r="I7" s="24"/>
      <c r="J7" s="25"/>
      <c r="K7" s="25"/>
      <c r="L7" s="26" t="str">
        <f>_xlfn.LET(_xlpm.d,VLOOKUP(C7,IMPORTRANGE("https://app.rwork.crc.com.cn/sheets/shtk9dJxf2RfI4iaZQvl0mDAYVe","'银行指标清单（风险）'!E:Q"),2,FALSE),IFERROR(IF(_xlpm.d="","未填写",_xlpm.d),"未匹配"))</f>
        <v>未匹配</v>
      </c>
      <c r="M7" s="26" t="str">
        <f>_xlfn.LET(_xlpm.d,VLOOKUP(C7,IMPORTRANGE("https://app.rwork.crc.com.cn/sheets/shtk9dJxf2RfI4iaZQvl0mDAYVe","'银行指标清单（风险）'!E:Q"),3,FALSE),IFERROR(IF(_xlpm.d="","未填写",_xlpm.d),"未匹配"))</f>
        <v>未匹配</v>
      </c>
      <c r="N7" s="26" t="str">
        <f>_xlfn.LET(_xlpm.d,VLOOKUP(C7,IMPORTRANGE("https://app.rwork.crc.com.cn/sheets/shtk9dJxf2RfI4iaZQvl0mDAYVe","'银行指标清单（风险）'!E:Q"),5,FALSE),IFERROR(IF(_xlpm.d="","未填写",_xlpm.d),"未匹配"))</f>
        <v>未匹配</v>
      </c>
      <c r="O7" s="27" t="str">
        <f>_xlfn.LET(_xlpm.d,VLOOKUP(C7,IMPORTRANGE("https://app.rwork.crc.com.cn/sheets/shtk9dJxf2RfI4iaZQvl0mDAYVe","'银行指标清单（风险）'!E:Q"),13,FALSE),IFERROR(IF(_xlpm.d="","未填写",_xlpm.d),"未匹配"))</f>
        <v>未匹配</v>
      </c>
      <c r="P7" s="28" t="s">
        <v>246</v>
      </c>
      <c r="Q7" s="29"/>
      <c r="R7" s="30" t="s">
        <v>197</v>
      </c>
      <c r="S7" s="31" t="s">
        <v>198</v>
      </c>
    </row>
    <row r="8" ht="58" customHeight="1" spans="1:19">
      <c r="A8" s="17"/>
      <c r="B8" s="18">
        <v>4</v>
      </c>
      <c r="C8" s="19" t="s">
        <v>250</v>
      </c>
      <c r="D8" s="20" t="s">
        <v>10</v>
      </c>
      <c r="E8" s="21"/>
      <c r="F8" s="22"/>
      <c r="G8" s="23"/>
      <c r="H8" s="23"/>
      <c r="I8" s="24"/>
      <c r="J8" s="25"/>
      <c r="K8" s="25"/>
      <c r="L8" s="26" t="str">
        <f>_xlfn.LET(_xlpm.d,VLOOKUP(C8,IMPORTRANGE("https://app.rwork.crc.com.cn/sheets/shtk9dJxf2RfI4iaZQvl0mDAYVe","'银行指标清单（风险）'!E:Q"),2,FALSE),IFERROR(IF(_xlpm.d="","未填写",_xlpm.d),"未匹配"))</f>
        <v>未匹配</v>
      </c>
      <c r="M8" s="26" t="str">
        <f>_xlfn.LET(_xlpm.d,VLOOKUP(C8,IMPORTRANGE("https://app.rwork.crc.com.cn/sheets/shtk9dJxf2RfI4iaZQvl0mDAYVe","'银行指标清单（风险）'!E:Q"),3,FALSE),IFERROR(IF(_xlpm.d="","未填写",_xlpm.d),"未匹配"))</f>
        <v>未匹配</v>
      </c>
      <c r="N8" s="26" t="str">
        <f>_xlfn.LET(_xlpm.d,VLOOKUP(C8,IMPORTRANGE("https://app.rwork.crc.com.cn/sheets/shtk9dJxf2RfI4iaZQvl0mDAYVe","'银行指标清单（风险）'!E:Q"),5,FALSE),IFERROR(IF(_xlpm.d="","未填写",_xlpm.d),"未匹配"))</f>
        <v>未匹配</v>
      </c>
      <c r="O8" s="27" t="str">
        <f>_xlfn.LET(_xlpm.d,VLOOKUP(C8,IMPORTRANGE("https://app.rwork.crc.com.cn/sheets/shtk9dJxf2RfI4iaZQvl0mDAYVe","'银行指标清单（风险）'!E:Q"),13,FALSE),IFERROR(IF(_xlpm.d="","未填写",_xlpm.d),"未匹配"))</f>
        <v>未匹配</v>
      </c>
      <c r="P8" s="28" t="s">
        <v>246</v>
      </c>
      <c r="Q8" s="29"/>
      <c r="R8" s="30" t="s">
        <v>197</v>
      </c>
      <c r="S8" s="31" t="s">
        <v>198</v>
      </c>
    </row>
    <row r="9" ht="15" spans="1:19">
      <c r="A9" s="17"/>
      <c r="B9" s="18">
        <v>5</v>
      </c>
      <c r="C9" s="19" t="s">
        <v>251</v>
      </c>
      <c r="D9" s="20" t="s">
        <v>10</v>
      </c>
      <c r="E9" s="21"/>
      <c r="F9" s="22"/>
      <c r="G9" s="24"/>
      <c r="H9" s="24"/>
      <c r="I9" s="32"/>
      <c r="J9" s="33"/>
      <c r="K9" s="33"/>
      <c r="L9" s="26" t="str">
        <f>_xlfn.LET(_xlpm.d,VLOOKUP(C9,IMPORTRANGE("https://app.rwork.crc.com.cn/sheets/shtk9dJxf2RfI4iaZQvl0mDAYVe","'银行指标清单（风险）'!E:Q"),2,FALSE),IFERROR(IF(_xlpm.d="","未填写",_xlpm.d),"未匹配"))</f>
        <v>未匹配</v>
      </c>
      <c r="M9" s="26" t="str">
        <f>_xlfn.LET(_xlpm.d,VLOOKUP(C9,IMPORTRANGE("https://app.rwork.crc.com.cn/sheets/shtk9dJxf2RfI4iaZQvl0mDAYVe","'银行指标清单（风险）'!E:Q"),3,FALSE),IFERROR(IF(_xlpm.d="","未填写",_xlpm.d),"未匹配"))</f>
        <v>未匹配</v>
      </c>
      <c r="N9" s="26" t="str">
        <f>_xlfn.LET(_xlpm.d,VLOOKUP(C9,IMPORTRANGE("https://app.rwork.crc.com.cn/sheets/shtk9dJxf2RfI4iaZQvl0mDAYVe","'银行指标清单（风险）'!E:Q"),5,FALSE),IFERROR(IF(_xlpm.d="","未填写",_xlpm.d),"未匹配"))</f>
        <v>未匹配</v>
      </c>
      <c r="O9" s="27" t="str">
        <f>_xlfn.LET(_xlpm.d,VLOOKUP(C9,IMPORTRANGE("https://app.rwork.crc.com.cn/sheets/shtk9dJxf2RfI4iaZQvl0mDAYVe","'银行指标清单（风险）'!E:Q"),13,FALSE),IFERROR(IF(_xlpm.d="","未填写",_xlpm.d),"未匹配"))</f>
        <v>未匹配</v>
      </c>
      <c r="P9" s="28" t="s">
        <v>246</v>
      </c>
      <c r="Q9" s="29"/>
      <c r="R9" s="30" t="s">
        <v>197</v>
      </c>
      <c r="S9" s="31" t="s">
        <v>198</v>
      </c>
    </row>
    <row r="10" ht="15" spans="1:19">
      <c r="A10" s="17"/>
      <c r="B10" s="18">
        <v>6</v>
      </c>
      <c r="C10" s="19" t="s">
        <v>48</v>
      </c>
      <c r="D10" s="20" t="s">
        <v>10</v>
      </c>
      <c r="E10" s="34"/>
      <c r="F10" s="22"/>
      <c r="G10" s="23"/>
      <c r="H10" s="23"/>
      <c r="I10" s="35"/>
      <c r="J10" s="24"/>
      <c r="K10" s="24"/>
      <c r="L10" s="26" t="str">
        <f>_xlfn.LET(_xlpm.d,VLOOKUP(C10,IMPORTRANGE("https://app.rwork.crc.com.cn/sheets/shtk9dJxf2RfI4iaZQvl0mDAYVe","'银行指标清单（风险）'!E:Q"),2,FALSE),IFERROR(IF(_xlpm.d="","未填写",_xlpm.d),"未匹配"))</f>
        <v>未匹配</v>
      </c>
      <c r="M10" s="26" t="str">
        <f>_xlfn.LET(_xlpm.d,VLOOKUP(C10,IMPORTRANGE("https://app.rwork.crc.com.cn/sheets/shtk9dJxf2RfI4iaZQvl0mDAYVe","'银行指标清单（风险）'!E:Q"),3,FALSE),IFERROR(IF(_xlpm.d="","未填写",_xlpm.d),"未匹配"))</f>
        <v>未匹配</v>
      </c>
      <c r="N10" s="26" t="str">
        <f>_xlfn.LET(_xlpm.d,VLOOKUP(C10,IMPORTRANGE("https://app.rwork.crc.com.cn/sheets/shtk9dJxf2RfI4iaZQvl0mDAYVe","'银行指标清单（风险）'!E:Q"),5,FALSE),IFERROR(IF(_xlpm.d="","未填写",_xlpm.d),"未匹配"))</f>
        <v>未匹配</v>
      </c>
      <c r="O10" s="27" t="str">
        <f>_xlfn.LET(_xlpm.d,VLOOKUP(C10,IMPORTRANGE("https://app.rwork.crc.com.cn/sheets/shtk9dJxf2RfI4iaZQvl0mDAYVe","'银行指标清单（风险）'!E:Q"),13,FALSE),IFERROR(IF(_xlpm.d="","未填写",_xlpm.d),"未匹配"))</f>
        <v>未匹配</v>
      </c>
      <c r="P10" s="28" t="s">
        <v>246</v>
      </c>
      <c r="Q10" s="36"/>
      <c r="R10" s="37" t="s">
        <v>220</v>
      </c>
      <c r="S10" s="38" t="s">
        <v>252</v>
      </c>
    </row>
    <row r="11" ht="15" spans="1:19">
      <c r="A11" s="17"/>
      <c r="B11" s="18">
        <v>7</v>
      </c>
      <c r="C11" s="19" t="s">
        <v>253</v>
      </c>
      <c r="D11" s="20" t="s">
        <v>10</v>
      </c>
      <c r="E11" s="34"/>
      <c r="F11" s="25"/>
      <c r="G11" s="25"/>
      <c r="H11" s="25"/>
      <c r="I11" s="25"/>
      <c r="J11" s="25"/>
      <c r="K11" s="25"/>
      <c r="L11" s="39" t="str">
        <f>_xlfn.LET(_xlpm.d,VLOOKUP(C11,IMPORTRANGE("https://app.rwork.crc.com.cn/sheets/shtk9dJxf2RfI4iaZQvl0mDAYVe","'银行指标清单（风险）'!E:Q"),2,FALSE),IFERROR(IF(_xlpm.d="","未填写",_xlpm.d),"未匹配"))</f>
        <v>未匹配</v>
      </c>
      <c r="M11" s="26" t="str">
        <f>_xlfn.LET(_xlpm.d,VLOOKUP(C11,IMPORTRANGE("https://app.rwork.crc.com.cn/sheets/shtk9dJxf2RfI4iaZQvl0mDAYVe","'银行指标清单（风险）'!E:Q"),3,FALSE),IFERROR(IF(_xlpm.d="","未填写",_xlpm.d),"未匹配"))</f>
        <v>未匹配</v>
      </c>
      <c r="N11" s="26" t="str">
        <f>_xlfn.LET(_xlpm.d,VLOOKUP(C11,IMPORTRANGE("https://app.rwork.crc.com.cn/sheets/shtk9dJxf2RfI4iaZQvl0mDAYVe","'银行指标清单（风险）'!E:Q"),5,FALSE),IFERROR(IF(_xlpm.d="","未填写",_xlpm.d),"未匹配"))</f>
        <v>未匹配</v>
      </c>
      <c r="O11" s="27" t="str">
        <f>_xlfn.LET(_xlpm.d,VLOOKUP(C11,IMPORTRANGE("https://app.rwork.crc.com.cn/sheets/shtk9dJxf2RfI4iaZQvl0mDAYVe","'银行指标清单（风险）'!E:Q"),13,FALSE),IFERROR(IF(_xlpm.d="","未填写",_xlpm.d),"未匹配"))</f>
        <v>未匹配</v>
      </c>
      <c r="P11" s="28" t="s">
        <v>246</v>
      </c>
      <c r="Q11" s="36"/>
      <c r="R11" s="30" t="s">
        <v>197</v>
      </c>
      <c r="S11" s="31" t="s">
        <v>198</v>
      </c>
    </row>
    <row r="12" ht="15" spans="1:19">
      <c r="A12" s="17"/>
      <c r="B12" s="18">
        <v>8</v>
      </c>
      <c r="C12" s="40" t="s">
        <v>254</v>
      </c>
      <c r="D12" s="20" t="s">
        <v>10</v>
      </c>
      <c r="E12" s="41"/>
      <c r="F12" s="25"/>
      <c r="G12" s="25"/>
      <c r="H12" s="25"/>
      <c r="I12" s="25"/>
      <c r="J12" s="25"/>
      <c r="K12" s="25"/>
      <c r="L12" s="39" t="str">
        <f>_xlfn.LET(_xlpm.d,VLOOKUP(C12,IMPORTRANGE("https://app.rwork.crc.com.cn/sheets/shtk9dJxf2RfI4iaZQvl0mDAYVe","'银行指标清单（风险）'!E:Q"),2,FALSE),IFERROR(IF(_xlpm.d="","未填写",_xlpm.d),"未匹配"))</f>
        <v>未匹配</v>
      </c>
      <c r="M12" s="26" t="str">
        <f>_xlfn.LET(_xlpm.d,VLOOKUP(C12,IMPORTRANGE("https://app.rwork.crc.com.cn/sheets/shtk9dJxf2RfI4iaZQvl0mDAYVe","'银行指标清单（风险）'!E:Q"),3,FALSE),IFERROR(IF(_xlpm.d="","未填写",_xlpm.d),"未匹配"))</f>
        <v>未匹配</v>
      </c>
      <c r="N12" s="26" t="str">
        <f>_xlfn.LET(_xlpm.d,VLOOKUP(C12,IMPORTRANGE("https://app.rwork.crc.com.cn/sheets/shtk9dJxf2RfI4iaZQvl0mDAYVe","'银行指标清单（风险）'!E:Q"),5,FALSE),IFERROR(IF(_xlpm.d="","未填写",_xlpm.d),"未匹配"))</f>
        <v>未匹配</v>
      </c>
      <c r="O12" s="27" t="str">
        <f>_xlfn.LET(_xlpm.d,VLOOKUP(C12,IMPORTRANGE("https://app.rwork.crc.com.cn/sheets/shtk9dJxf2RfI4iaZQvl0mDAYVe","'银行指标清单（风险）'!E:Q"),13,FALSE),IFERROR(IF(_xlpm.d="","未填写",_xlpm.d),"未匹配"))</f>
        <v>未匹配</v>
      </c>
      <c r="P12" s="28" t="s">
        <v>246</v>
      </c>
      <c r="Q12" s="29"/>
      <c r="R12" s="30" t="s">
        <v>197</v>
      </c>
      <c r="S12" s="31" t="s">
        <v>198</v>
      </c>
    </row>
    <row r="13" ht="15" spans="1:19">
      <c r="A13" s="17"/>
      <c r="B13" s="18">
        <v>9</v>
      </c>
      <c r="C13" s="42" t="s">
        <v>255</v>
      </c>
      <c r="D13" s="20" t="s">
        <v>59</v>
      </c>
      <c r="E13" s="34" t="s">
        <v>38</v>
      </c>
      <c r="F13" s="43"/>
      <c r="G13" s="25"/>
      <c r="H13" s="25"/>
      <c r="I13" s="25"/>
      <c r="J13" s="25"/>
      <c r="K13" s="44" t="s">
        <v>219</v>
      </c>
      <c r="L13" s="26" t="str">
        <f>_xlfn.LET(_xlpm.d,VLOOKUP(C13,IMPORTRANGE("https://app.rwork.crc.com.cn/sheets/shtk9dJxf2RfI4iaZQvl0mDAYVe","'银行指标清单（风险）'!E:Q"),2,FALSE),IFERROR(IF(_xlpm.d="","未填写",_xlpm.d),"未匹配"))</f>
        <v>未匹配</v>
      </c>
      <c r="M13" s="26" t="str">
        <f>_xlfn.LET(_xlpm.d,VLOOKUP(C13,IMPORTRANGE("https://app.rwork.crc.com.cn/sheets/shtk9dJxf2RfI4iaZQvl0mDAYVe","'银行指标清单（风险）'!E:Q"),3,FALSE),IFERROR(IF(_xlpm.d="","未填写",_xlpm.d),"未匹配"))</f>
        <v>未匹配</v>
      </c>
      <c r="N13" s="26" t="str">
        <f>_xlfn.LET(_xlpm.d,VLOOKUP(C13,IMPORTRANGE("https://app.rwork.crc.com.cn/sheets/shtk9dJxf2RfI4iaZQvl0mDAYVe","'银行指标清单（风险）'!E:Q"),5,FALSE),IFERROR(IF(_xlpm.d="","未填写",_xlpm.d),"未匹配"))</f>
        <v>未匹配</v>
      </c>
      <c r="O13" s="27" t="str">
        <f>_xlfn.LET(_xlpm.d,VLOOKUP(C13,IMPORTRANGE("https://app.rwork.crc.com.cn/sheets/shtk9dJxf2RfI4iaZQvl0mDAYVe","'银行指标清单（风险）'!E:Q"),13,FALSE),IFERROR(IF(_xlpm.d="","未填写",_xlpm.d),"未匹配"))</f>
        <v>未匹配</v>
      </c>
      <c r="P13" s="28" t="s">
        <v>246</v>
      </c>
      <c r="Q13" s="29"/>
      <c r="R13" s="30" t="s">
        <v>197</v>
      </c>
      <c r="S13" s="31" t="s">
        <v>198</v>
      </c>
    </row>
    <row r="14" ht="71" customHeight="1" spans="1:19">
      <c r="A14" s="17"/>
      <c r="B14" s="18">
        <v>10</v>
      </c>
      <c r="C14" s="45" t="s">
        <v>256</v>
      </c>
      <c r="D14" s="20" t="s">
        <v>59</v>
      </c>
      <c r="E14" s="34"/>
      <c r="F14" s="43"/>
      <c r="G14" s="25"/>
      <c r="H14" s="25"/>
      <c r="I14" s="25"/>
      <c r="J14" s="25"/>
      <c r="K14" s="25"/>
      <c r="L14" s="26" t="str">
        <f>_xlfn.LET(_xlpm.d,VLOOKUP(C14,IMPORTRANGE("https://app.rwork.crc.com.cn/sheets/shtk9dJxf2RfI4iaZQvl0mDAYVe","'银行指标清单（风险）'!E:Q"),2,FALSE),IFERROR(IF(_xlpm.d="","未填写",_xlpm.d),"未匹配"))</f>
        <v>未匹配</v>
      </c>
      <c r="M14" s="26" t="str">
        <f>_xlfn.LET(_xlpm.d,VLOOKUP(C14,IMPORTRANGE("https://app.rwork.crc.com.cn/sheets/shtk9dJxf2RfI4iaZQvl0mDAYVe","'银行指标清单（风险）'!E:Q"),3,FALSE),IFERROR(IF(_xlpm.d="","未填写",_xlpm.d),"未匹配"))</f>
        <v>未匹配</v>
      </c>
      <c r="N14" s="26" t="str">
        <f>_xlfn.LET(_xlpm.d,VLOOKUP(C14,IMPORTRANGE("https://app.rwork.crc.com.cn/sheets/shtk9dJxf2RfI4iaZQvl0mDAYVe","'银行指标清单（风险）'!E:Q"),5,FALSE),IFERROR(IF(_xlpm.d="","未填写",_xlpm.d),"未匹配"))</f>
        <v>未匹配</v>
      </c>
      <c r="O14" s="27" t="str">
        <f>_xlfn.LET(_xlpm.d,VLOOKUP(C14,IMPORTRANGE("https://app.rwork.crc.com.cn/sheets/shtk9dJxf2RfI4iaZQvl0mDAYVe","'银行指标清单（风险）'!E:Q"),13,FALSE),IFERROR(IF(_xlpm.d="","未填写",_xlpm.d),"未匹配"))</f>
        <v>未匹配</v>
      </c>
      <c r="P14" s="28" t="s">
        <v>246</v>
      </c>
      <c r="Q14" s="29"/>
      <c r="R14" s="30" t="s">
        <v>197</v>
      </c>
      <c r="S14" s="31" t="s">
        <v>198</v>
      </c>
    </row>
    <row r="15" ht="15" spans="1:19">
      <c r="A15" s="17"/>
      <c r="B15" s="18">
        <v>11</v>
      </c>
      <c r="C15" s="42" t="s">
        <v>257</v>
      </c>
      <c r="D15" s="20" t="s">
        <v>59</v>
      </c>
      <c r="E15" s="34" t="s">
        <v>38</v>
      </c>
      <c r="F15" s="43"/>
      <c r="G15" s="25"/>
      <c r="H15" s="25"/>
      <c r="I15" s="25"/>
      <c r="J15" s="25"/>
      <c r="K15" s="44" t="s">
        <v>219</v>
      </c>
      <c r="L15" s="26" t="str">
        <f>_xlfn.LET(_xlpm.d,VLOOKUP(C15,IMPORTRANGE("https://app.rwork.crc.com.cn/sheets/shtk9dJxf2RfI4iaZQvl0mDAYVe","'银行指标清单（风险）'!E:Q"),2,FALSE),IFERROR(IF(_xlpm.d="","未填写",_xlpm.d),"未匹配"))</f>
        <v>未匹配</v>
      </c>
      <c r="M15" s="26" t="str">
        <f>_xlfn.LET(_xlpm.d,VLOOKUP(C15,IMPORTRANGE("https://app.rwork.crc.com.cn/sheets/shtk9dJxf2RfI4iaZQvl0mDAYVe","'银行指标清单（风险）'!E:Q"),3,FALSE),IFERROR(IF(_xlpm.d="","未填写",_xlpm.d),"未匹配"))</f>
        <v>未匹配</v>
      </c>
      <c r="N15" s="26" t="str">
        <f>_xlfn.LET(_xlpm.d,VLOOKUP(C15,IMPORTRANGE("https://app.rwork.crc.com.cn/sheets/shtk9dJxf2RfI4iaZQvl0mDAYVe","'银行指标清单（风险）'!E:Q"),5,FALSE),IFERROR(IF(_xlpm.d="","未填写",_xlpm.d),"未匹配"))</f>
        <v>未匹配</v>
      </c>
      <c r="O15" s="27" t="str">
        <f>_xlfn.LET(_xlpm.d,VLOOKUP(C15,IMPORTRANGE("https://app.rwork.crc.com.cn/sheets/shtk9dJxf2RfI4iaZQvl0mDAYVe","'银行指标清单（风险）'!E:Q"),13,FALSE),IFERROR(IF(_xlpm.d="","未填写",_xlpm.d),"未匹配"))</f>
        <v>未匹配</v>
      </c>
      <c r="P15" s="28" t="s">
        <v>246</v>
      </c>
      <c r="Q15" s="29"/>
      <c r="R15" s="30" t="s">
        <v>197</v>
      </c>
      <c r="S15" s="31" t="s">
        <v>198</v>
      </c>
    </row>
    <row r="16" ht="61.9" spans="1:19">
      <c r="A16" s="17"/>
      <c r="B16" s="18">
        <v>12</v>
      </c>
      <c r="C16" s="42" t="s">
        <v>258</v>
      </c>
      <c r="D16" s="20" t="s">
        <v>59</v>
      </c>
      <c r="E16" s="46" t="s">
        <v>159</v>
      </c>
      <c r="F16" s="43"/>
      <c r="G16" s="25"/>
      <c r="H16" s="25"/>
      <c r="I16" s="25"/>
      <c r="J16" s="25"/>
      <c r="K16" s="25"/>
      <c r="L16" s="39" t="str">
        <f>_xlfn.LET(_xlpm.d,VLOOKUP(C16,IMPORTRANGE("https://app.rwork.crc.com.cn/sheets/shtk9dJxf2RfI4iaZQvl0mDAYVe","'银行指标清单（风险）'!E:Q"),2,FALSE),IFERROR(IF(_xlpm.d="","未填写",_xlpm.d),"未匹配"))</f>
        <v>未匹配</v>
      </c>
      <c r="M16" s="26" t="str">
        <f>_xlfn.LET(_xlpm.d,VLOOKUP(C16,IMPORTRANGE("https://app.rwork.crc.com.cn/sheets/shtk9dJxf2RfI4iaZQvl0mDAYVe","'银行指标清单（风险）'!E:Q"),3,FALSE),IFERROR(IF(_xlpm.d="","未填写",_xlpm.d),"未匹配"))</f>
        <v>未匹配</v>
      </c>
      <c r="N16" s="26" t="str">
        <f>_xlfn.LET(_xlpm.d,VLOOKUP(C16,IMPORTRANGE("https://app.rwork.crc.com.cn/sheets/shtk9dJxf2RfI4iaZQvl0mDAYVe","'银行指标清单（风险）'!E:Q"),5,FALSE),IFERROR(IF(_xlpm.d="","未填写",_xlpm.d),"未匹配"))</f>
        <v>未匹配</v>
      </c>
      <c r="O16" s="27" t="str">
        <f>_xlfn.LET(_xlpm.d,VLOOKUP(C16,IMPORTRANGE("https://app.rwork.crc.com.cn/sheets/shtk9dJxf2RfI4iaZQvl0mDAYVe","'银行指标清单（风险）'!E:Q"),13,FALSE),IFERROR(IF(_xlpm.d="","未填写",_xlpm.d),"未匹配"))</f>
        <v>未匹配</v>
      </c>
      <c r="P16" s="28" t="s">
        <v>246</v>
      </c>
      <c r="Q16" s="29" t="s">
        <v>259</v>
      </c>
      <c r="R16" s="30" t="s">
        <v>197</v>
      </c>
      <c r="S16" s="31" t="s">
        <v>198</v>
      </c>
    </row>
    <row r="17" ht="15" spans="1:19">
      <c r="A17" s="17"/>
      <c r="B17" s="18">
        <v>13</v>
      </c>
      <c r="C17" s="19" t="s">
        <v>260</v>
      </c>
      <c r="D17" s="20" t="s">
        <v>10</v>
      </c>
      <c r="E17" s="34" t="s">
        <v>38</v>
      </c>
      <c r="F17" s="25"/>
      <c r="G17" s="25"/>
      <c r="H17" s="25"/>
      <c r="I17" s="47"/>
      <c r="J17" s="25"/>
      <c r="K17" s="44" t="s">
        <v>219</v>
      </c>
      <c r="L17" s="26" t="str">
        <f>_xlfn.LET(_xlpm.d,VLOOKUP(C17,IMPORTRANGE("https://app.rwork.crc.com.cn/sheets/shtk9dJxf2RfI4iaZQvl0mDAYVe","'银行指标清单（风险）'!E:Q"),2,FALSE),IFERROR(IF(_xlpm.d="","未填写",_xlpm.d),"未匹配"))</f>
        <v>未匹配</v>
      </c>
      <c r="M17" s="26" t="str">
        <f>_xlfn.LET(_xlpm.d,VLOOKUP(C17,IMPORTRANGE("https://app.rwork.crc.com.cn/sheets/shtk9dJxf2RfI4iaZQvl0mDAYVe","'银行指标清单（风险）'!E:Q"),3,FALSE),IFERROR(IF(_xlpm.d="","未填写",_xlpm.d),"未匹配"))</f>
        <v>未匹配</v>
      </c>
      <c r="N17" s="26" t="str">
        <f>_xlfn.LET(_xlpm.d,VLOOKUP(C17,IMPORTRANGE("https://app.rwork.crc.com.cn/sheets/shtk9dJxf2RfI4iaZQvl0mDAYVe","'银行指标清单（风险）'!E:Q"),5,FALSE),IFERROR(IF(_xlpm.d="","未填写",_xlpm.d),"未匹配"))</f>
        <v>未匹配</v>
      </c>
      <c r="O17" s="27" t="str">
        <f>_xlfn.LET(_xlpm.d,VLOOKUP(C17,IMPORTRANGE("https://app.rwork.crc.com.cn/sheets/shtk9dJxf2RfI4iaZQvl0mDAYVe","'银行指标清单（风险）'!E:Q"),13,FALSE),IFERROR(IF(_xlpm.d="","未填写",_xlpm.d),"未匹配"))</f>
        <v>未匹配</v>
      </c>
      <c r="P17" s="28" t="s">
        <v>246</v>
      </c>
      <c r="Q17" s="29"/>
      <c r="R17" s="37" t="s">
        <v>220</v>
      </c>
      <c r="S17" s="38" t="s">
        <v>252</v>
      </c>
    </row>
    <row r="18" ht="15" spans="1:19">
      <c r="A18" s="17"/>
      <c r="B18" s="18">
        <v>14</v>
      </c>
      <c r="C18" s="45" t="s">
        <v>67</v>
      </c>
      <c r="D18" s="20" t="s">
        <v>59</v>
      </c>
      <c r="E18" s="48"/>
      <c r="F18" s="25"/>
      <c r="G18" s="25"/>
      <c r="H18" s="25"/>
      <c r="I18" s="25"/>
      <c r="J18" s="25"/>
      <c r="K18" s="25"/>
      <c r="L18" s="26" t="str">
        <f>_xlfn.LET(_xlpm.d,VLOOKUP(C18,IMPORTRANGE("https://app.rwork.crc.com.cn/sheets/shtk9dJxf2RfI4iaZQvl0mDAYVe","'银行指标清单（风险）'!E:Q"),2,FALSE),IFERROR(IF(_xlpm.d="","未填写",_xlpm.d),"未匹配"))</f>
        <v>未匹配</v>
      </c>
      <c r="M18" s="26" t="str">
        <f>_xlfn.LET(_xlpm.d,VLOOKUP(C18,IMPORTRANGE("https://app.rwork.crc.com.cn/sheets/shtk9dJxf2RfI4iaZQvl0mDAYVe","'银行指标清单（风险）'!E:Q"),3,FALSE),IFERROR(IF(_xlpm.d="","未填写",_xlpm.d),"未匹配"))</f>
        <v>未匹配</v>
      </c>
      <c r="N18" s="26" t="str">
        <f>_xlfn.LET(_xlpm.d,VLOOKUP(C18,IMPORTRANGE("https://app.rwork.crc.com.cn/sheets/shtk9dJxf2RfI4iaZQvl0mDAYVe","'银行指标清单（风险）'!E:Q"),5,FALSE),IFERROR(IF(_xlpm.d="","未填写",_xlpm.d),"未匹配"))</f>
        <v>未匹配</v>
      </c>
      <c r="O18" s="27" t="str">
        <f>_xlfn.LET(_xlpm.d,VLOOKUP(C18,IMPORTRANGE("https://app.rwork.crc.com.cn/sheets/shtk9dJxf2RfI4iaZQvl0mDAYVe","'银行指标清单（风险）'!E:Q"),13,FALSE),IFERROR(IF(_xlpm.d="","未填写",_xlpm.d),"未匹配"))</f>
        <v>未匹配</v>
      </c>
      <c r="P18" s="28" t="s">
        <v>246</v>
      </c>
      <c r="Q18" s="29"/>
      <c r="R18" s="30" t="s">
        <v>197</v>
      </c>
      <c r="S18" s="31" t="s">
        <v>198</v>
      </c>
    </row>
    <row r="19" ht="83" customHeight="1" spans="1:19">
      <c r="A19" s="17"/>
      <c r="B19" s="18">
        <v>15</v>
      </c>
      <c r="C19" s="49" t="s">
        <v>261</v>
      </c>
      <c r="D19" s="50" t="s">
        <v>10</v>
      </c>
      <c r="E19" s="34" t="s">
        <v>159</v>
      </c>
      <c r="F19" s="43"/>
      <c r="G19" s="25"/>
      <c r="H19" s="25"/>
      <c r="I19" s="25"/>
      <c r="J19" s="25"/>
      <c r="K19" s="25"/>
      <c r="L19" s="26" t="s">
        <v>230</v>
      </c>
      <c r="M19" s="26" t="s">
        <v>262</v>
      </c>
      <c r="N19" s="26"/>
      <c r="O19" s="27"/>
      <c r="P19" s="28"/>
      <c r="Q19" s="29" t="s">
        <v>262</v>
      </c>
      <c r="R19" s="30" t="s">
        <v>197</v>
      </c>
      <c r="S19" s="31" t="s">
        <v>198</v>
      </c>
    </row>
    <row r="20" ht="24" customHeight="1" spans="1:19">
      <c r="E20" s="51"/>
      <c r="F20" s="51"/>
      <c r="G20" s="52" t="s">
        <v>263</v>
      </c>
      <c r="H20" s="51"/>
      <c r="I20" s="51"/>
      <c r="J20" s="51"/>
      <c r="K20" s="51"/>
      <c r="L20" s="51"/>
      <c r="M20" s="51"/>
      <c r="N20" s="4"/>
      <c r="O20" s="4"/>
      <c r="P20" s="4"/>
      <c r="Q20" s="4"/>
      <c r="R20" s="51"/>
      <c r="S20" s="51"/>
    </row>
  </sheetData>
  <mergeCells count="18">
    <mergeCell ref="A1:K1"/>
    <mergeCell ref="A2:K2"/>
    <mergeCell ref="G3:I3"/>
    <mergeCell ref="A3:A4"/>
    <mergeCell ref="A5:A18"/>
    <mergeCell ref="B3:B4"/>
    <mergeCell ref="C3:C4"/>
    <mergeCell ref="D3:D4"/>
    <mergeCell ref="E3:E4"/>
    <mergeCell ref="F3:F4"/>
    <mergeCell ref="J3:J4"/>
    <mergeCell ref="K3:K4"/>
    <mergeCell ref="L3:L4"/>
    <mergeCell ref="M3:M4"/>
    <mergeCell ref="N3:N4"/>
    <mergeCell ref="O3:O4"/>
    <mergeCell ref="P3:P4"/>
    <mergeCell ref="Q3:Q4"/>
  </mergeCells>
  <pageMargins left="0.75" right="0.75" top="1" bottom="1" header="0.5" footer="0.5"/>
  <headerFooter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00-资产负债简表(20个)</vt:lpstr>
      <vt:lpstr>00-损益表简表(14个)</vt:lpstr>
      <vt:lpstr>00-关键监测指标（21个）</vt:lpstr>
      <vt:lpstr>01-收入结构（21个）</vt:lpstr>
      <vt:lpstr>02-成本结构（18个）</vt:lpstr>
      <vt:lpstr>03-存贷结构(30个)</vt:lpstr>
      <vt:lpstr>04-利率结构(15个)</vt:lpstr>
      <vt:lpstr>05-客群结构(14个)</vt:lpstr>
      <vt:lpstr>06-风险及资本情况(15个)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咪</cp:lastModifiedBy>
  <dcterms:created xsi:type="dcterms:W3CDTF">2026-10-13T02:17:47Z</dcterms:created>
  <dcterms:modified xsi:type="dcterms:W3CDTF">2026-10-13T02:21:57Z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F98F2BFAB81B4D6F976F5A03A0EB0783_12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